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可扩展性分析（Scalability Analysis）\"/>
    </mc:Choice>
  </mc:AlternateContent>
  <xr:revisionPtr revIDLastSave="0" documentId="13_ncr:1_{6C61122B-C2BB-4D63-855F-2EBDE923FDD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ltech" sheetId="2" r:id="rId1"/>
    <sheet name="JP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11" i="1"/>
  <c r="P12" i="1"/>
  <c r="P13" i="1"/>
  <c r="P14" i="1"/>
  <c r="P15" i="1"/>
  <c r="P3" i="1"/>
  <c r="H4" i="1"/>
  <c r="H5" i="1"/>
  <c r="H6" i="1"/>
  <c r="H7" i="1"/>
  <c r="H11" i="1"/>
  <c r="H12" i="1"/>
  <c r="H13" i="1"/>
  <c r="H14" i="1"/>
  <c r="H15" i="1"/>
  <c r="H3" i="1"/>
  <c r="P4" i="2"/>
  <c r="P5" i="2"/>
  <c r="P6" i="2"/>
  <c r="P7" i="2"/>
  <c r="P11" i="2"/>
  <c r="P12" i="2"/>
  <c r="P13" i="2"/>
  <c r="P14" i="2"/>
  <c r="P15" i="2"/>
  <c r="P3" i="2"/>
  <c r="H4" i="2"/>
  <c r="H5" i="2"/>
  <c r="H6" i="2"/>
  <c r="H7" i="2"/>
  <c r="H11" i="2"/>
  <c r="H12" i="2"/>
  <c r="H13" i="2"/>
  <c r="H14" i="2"/>
  <c r="H15" i="2"/>
  <c r="H3" i="2"/>
</calcChain>
</file>

<file path=xl/sharedStrings.xml><?xml version="1.0" encoding="utf-8"?>
<sst xmlns="http://schemas.openxmlformats.org/spreadsheetml/2006/main" count="16" uniqueCount="5">
  <si>
    <t>Parking Duration (MAE)</t>
    <phoneticPr fontId="3" type="noConversion"/>
  </si>
  <si>
    <t>Parking Duration (SMAPE)</t>
    <phoneticPr fontId="3" type="noConversion"/>
  </si>
  <si>
    <t>Charging Capacity (SMAPE)</t>
    <phoneticPr fontId="3" type="noConversion"/>
  </si>
  <si>
    <t>Charging Capacity (MAE)</t>
    <phoneticPr fontId="3" type="noConversion"/>
  </si>
  <si>
    <t>Training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</si>
</sst>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zoomScale="130" zoomScaleNormal="130" workbookViewId="0">
      <selection activeCell="I22" sqref="I22"/>
    </sheetView>
  </sheetViews>
  <sheetFormatPr defaultColWidth="9" defaultRowHeight="14.4" x14ac:dyDescent="0.25"/>
  <cols>
    <col min="1" max="1" width="22.6640625" customWidth="1"/>
    <col min="8" max="8" width="13.21875" customWidth="1"/>
    <col min="9" max="9" width="20.6640625" customWidth="1"/>
    <col min="16" max="16" width="13.5546875" customWidth="1"/>
  </cols>
  <sheetData>
    <row r="1" spans="1:16" x14ac:dyDescent="0.25">
      <c r="A1" s="6" t="s">
        <v>1</v>
      </c>
      <c r="B1" s="7"/>
      <c r="C1" s="7"/>
      <c r="D1" s="7"/>
      <c r="E1" s="7"/>
      <c r="F1" s="7"/>
      <c r="G1" s="7"/>
      <c r="I1" s="6" t="s">
        <v>0</v>
      </c>
      <c r="J1" s="7"/>
      <c r="K1" s="7"/>
      <c r="L1" s="7"/>
      <c r="M1" s="7"/>
      <c r="N1" s="7"/>
      <c r="O1" s="7"/>
    </row>
    <row r="2" spans="1:16" x14ac:dyDescent="0.25">
      <c r="A2" s="1" t="s">
        <v>4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I2" s="1" t="s">
        <v>4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>
        <v>53</v>
      </c>
      <c r="B3" s="3">
        <v>11.08</v>
      </c>
      <c r="C3" s="3">
        <v>10.55</v>
      </c>
      <c r="D3" s="3">
        <v>10.39</v>
      </c>
      <c r="E3" s="3">
        <v>10.29</v>
      </c>
      <c r="F3" s="3">
        <v>9.89</v>
      </c>
      <c r="G3" s="3">
        <v>10.47</v>
      </c>
      <c r="H3" t="str">
        <f>TEXT(AVERAGE(B3:G3),"0.00")&amp;"±"&amp;TEXT((MAX(B3:G3)-AVERAGE(B3:G3)),"0.00")</f>
        <v>10.45±0.64</v>
      </c>
      <c r="I3" s="1">
        <v>53</v>
      </c>
      <c r="J3" s="3">
        <v>0.95</v>
      </c>
      <c r="K3" s="3">
        <v>0.88</v>
      </c>
      <c r="L3" s="3">
        <v>0.87</v>
      </c>
      <c r="M3" s="3">
        <v>0.87</v>
      </c>
      <c r="N3" s="3">
        <v>0.84</v>
      </c>
      <c r="O3" s="3">
        <v>0.92</v>
      </c>
      <c r="P3" t="str">
        <f>TEXT(AVERAGE(J3:O3),"0.00")&amp;"±"&amp;TEXT((MAX(J3:O3)-AVERAGE(J3:O3)),"0.00")</f>
        <v>0.89±0.06</v>
      </c>
    </row>
    <row r="4" spans="1:16" x14ac:dyDescent="0.25">
      <c r="A4" s="1">
        <v>40</v>
      </c>
      <c r="B4" s="3">
        <v>10.88</v>
      </c>
      <c r="C4" s="3">
        <v>10.26</v>
      </c>
      <c r="D4" s="3">
        <v>10.53</v>
      </c>
      <c r="E4" s="3">
        <v>9.86</v>
      </c>
      <c r="F4" s="3">
        <v>9.74</v>
      </c>
      <c r="G4" s="3">
        <v>10.54</v>
      </c>
      <c r="H4" t="str">
        <f t="shared" ref="H4:H15" si="0">TEXT(AVERAGE(B4:G4),"0.00")&amp;"±"&amp;TEXT((MAX(B4:G4)-AVERAGE(B4:G4)),"0.00")</f>
        <v>10.30±0.58</v>
      </c>
      <c r="I4" s="1">
        <v>40</v>
      </c>
      <c r="J4" s="3">
        <v>0.95</v>
      </c>
      <c r="K4" s="3">
        <v>0.87</v>
      </c>
      <c r="L4" s="3">
        <v>0.91</v>
      </c>
      <c r="M4" s="3">
        <v>0.87</v>
      </c>
      <c r="N4" s="3">
        <v>0.84</v>
      </c>
      <c r="O4" s="3">
        <v>0.93</v>
      </c>
      <c r="P4" t="str">
        <f t="shared" ref="P4:P15" si="1">TEXT(AVERAGE(J4:O4),"0.00")&amp;"±"&amp;TEXT((MAX(J4:O4)-AVERAGE(J4:O4)),"0.00")</f>
        <v>0.90±0.05</v>
      </c>
    </row>
    <row r="5" spans="1:16" x14ac:dyDescent="0.25">
      <c r="A5" s="1">
        <v>30</v>
      </c>
      <c r="B5" s="3">
        <v>10.17</v>
      </c>
      <c r="C5" s="3">
        <v>9.93</v>
      </c>
      <c r="D5" s="3">
        <v>10.68</v>
      </c>
      <c r="E5" s="3">
        <v>10.94</v>
      </c>
      <c r="F5" s="3">
        <v>9.89</v>
      </c>
      <c r="G5" s="3">
        <v>10.49</v>
      </c>
      <c r="H5" t="str">
        <f t="shared" si="0"/>
        <v>10.35±0.59</v>
      </c>
      <c r="I5" s="1">
        <v>30</v>
      </c>
      <c r="J5" s="3">
        <v>0.88</v>
      </c>
      <c r="K5" s="3">
        <v>0.87</v>
      </c>
      <c r="L5" s="3">
        <v>0.94</v>
      </c>
      <c r="M5" s="3">
        <v>0.95</v>
      </c>
      <c r="N5" s="3">
        <v>0.86</v>
      </c>
      <c r="O5" s="3">
        <v>0.93</v>
      </c>
      <c r="P5" t="str">
        <f t="shared" si="1"/>
        <v>0.91±0.05</v>
      </c>
    </row>
    <row r="6" spans="1:16" x14ac:dyDescent="0.25">
      <c r="A6" s="1">
        <v>20</v>
      </c>
      <c r="B6" s="3">
        <v>10.52</v>
      </c>
      <c r="C6" s="3">
        <v>10.73</v>
      </c>
      <c r="D6" s="3">
        <v>10.27</v>
      </c>
      <c r="E6" s="3">
        <v>11.44</v>
      </c>
      <c r="F6" s="3">
        <v>9.6300000000000008</v>
      </c>
      <c r="G6" s="3">
        <v>9.7200000000000006</v>
      </c>
      <c r="H6" t="str">
        <f t="shared" si="0"/>
        <v>10.39±1.06</v>
      </c>
      <c r="I6" s="1">
        <v>20</v>
      </c>
      <c r="J6" s="3">
        <v>0.88</v>
      </c>
      <c r="K6" s="3">
        <v>0.89</v>
      </c>
      <c r="L6" s="3">
        <v>0.85</v>
      </c>
      <c r="M6" s="3">
        <v>0.96</v>
      </c>
      <c r="N6" s="3">
        <v>0.79</v>
      </c>
      <c r="O6" s="3">
        <v>0.8</v>
      </c>
      <c r="P6" t="str">
        <f t="shared" si="1"/>
        <v>0.86±0.10</v>
      </c>
    </row>
    <row r="7" spans="1:16" x14ac:dyDescent="0.25">
      <c r="A7" s="1">
        <v>10</v>
      </c>
      <c r="B7" s="3">
        <v>7.97</v>
      </c>
      <c r="C7" s="3">
        <v>7.77</v>
      </c>
      <c r="D7" s="3">
        <v>8.23</v>
      </c>
      <c r="E7" s="3">
        <v>13.68</v>
      </c>
      <c r="F7" s="3">
        <v>8.76</v>
      </c>
      <c r="G7" s="3">
        <v>8.06</v>
      </c>
      <c r="H7" t="str">
        <f t="shared" si="0"/>
        <v>9.08±4.60</v>
      </c>
      <c r="I7" s="1">
        <v>10</v>
      </c>
      <c r="J7" s="3">
        <v>0.67</v>
      </c>
      <c r="K7" s="3">
        <v>0.65</v>
      </c>
      <c r="L7" s="3">
        <v>0.69</v>
      </c>
      <c r="M7" s="3">
        <v>1.24</v>
      </c>
      <c r="N7" s="3">
        <v>0.73</v>
      </c>
      <c r="O7" s="3">
        <v>0.67</v>
      </c>
      <c r="P7" t="str">
        <f t="shared" si="1"/>
        <v>0.78±0.47</v>
      </c>
    </row>
    <row r="8" spans="1:16" x14ac:dyDescent="0.25">
      <c r="A8" s="1"/>
      <c r="B8" s="2"/>
      <c r="C8" s="2"/>
      <c r="D8" s="2"/>
      <c r="E8" s="2"/>
      <c r="F8" s="2"/>
      <c r="G8" s="2"/>
      <c r="I8" s="2"/>
      <c r="J8" s="2"/>
      <c r="K8" s="2"/>
      <c r="L8" s="2"/>
      <c r="M8" s="2"/>
      <c r="N8" s="1"/>
      <c r="O8" s="2"/>
    </row>
    <row r="9" spans="1:16" x14ac:dyDescent="0.25">
      <c r="A9" s="6" t="s">
        <v>2</v>
      </c>
      <c r="B9" s="6"/>
      <c r="C9" s="6"/>
      <c r="D9" s="6"/>
      <c r="E9" s="6"/>
      <c r="F9" s="6"/>
      <c r="G9" s="6"/>
      <c r="I9" s="6" t="s">
        <v>3</v>
      </c>
      <c r="J9" s="6"/>
      <c r="K9" s="6"/>
      <c r="L9" s="6"/>
      <c r="M9" s="6"/>
      <c r="N9" s="6"/>
      <c r="O9" s="6"/>
    </row>
    <row r="10" spans="1:16" x14ac:dyDescent="0.25">
      <c r="A10" s="1" t="s">
        <v>4</v>
      </c>
      <c r="B10" s="2">
        <v>30</v>
      </c>
      <c r="C10" s="2">
        <v>60</v>
      </c>
      <c r="D10" s="2">
        <v>120</v>
      </c>
      <c r="E10" s="2">
        <v>240</v>
      </c>
      <c r="F10" s="2">
        <v>360</v>
      </c>
      <c r="G10" s="2">
        <v>480</v>
      </c>
      <c r="I10" s="1" t="s">
        <v>4</v>
      </c>
      <c r="J10" s="2">
        <v>30</v>
      </c>
      <c r="K10" s="2">
        <v>60</v>
      </c>
      <c r="L10" s="2">
        <v>120</v>
      </c>
      <c r="M10" s="2">
        <v>240</v>
      </c>
      <c r="N10" s="1">
        <v>360</v>
      </c>
      <c r="O10" s="2">
        <v>480</v>
      </c>
    </row>
    <row r="11" spans="1:16" x14ac:dyDescent="0.25">
      <c r="A11" s="1">
        <v>53</v>
      </c>
      <c r="B11" s="3">
        <v>8.76</v>
      </c>
      <c r="C11" s="3">
        <v>7.12</v>
      </c>
      <c r="D11" s="3">
        <v>6.19</v>
      </c>
      <c r="E11" s="3">
        <v>5.82</v>
      </c>
      <c r="F11" s="3">
        <v>5.93</v>
      </c>
      <c r="G11" s="3">
        <v>5.72</v>
      </c>
      <c r="H11" t="str">
        <f t="shared" si="0"/>
        <v>6.59±2.17</v>
      </c>
      <c r="I11" s="1">
        <v>53</v>
      </c>
      <c r="J11" s="3">
        <v>1.73</v>
      </c>
      <c r="K11" s="3">
        <v>1.43</v>
      </c>
      <c r="L11" s="3">
        <v>1.24</v>
      </c>
      <c r="M11" s="3">
        <v>1.17</v>
      </c>
      <c r="N11" s="3">
        <v>1.2</v>
      </c>
      <c r="O11" s="3">
        <v>1.1499999999999999</v>
      </c>
      <c r="P11" t="str">
        <f t="shared" si="1"/>
        <v>1.32±0.41</v>
      </c>
    </row>
    <row r="12" spans="1:16" x14ac:dyDescent="0.25">
      <c r="A12" s="1">
        <v>40</v>
      </c>
      <c r="B12" s="3">
        <v>8.9700000000000006</v>
      </c>
      <c r="C12" s="3">
        <v>8.41</v>
      </c>
      <c r="D12" s="3">
        <v>6.29</v>
      </c>
      <c r="E12" s="3">
        <v>6.29</v>
      </c>
      <c r="F12" s="3">
        <v>6.17</v>
      </c>
      <c r="G12" s="3">
        <v>6.02</v>
      </c>
      <c r="H12" t="str">
        <f t="shared" si="0"/>
        <v>7.03±1.95</v>
      </c>
      <c r="I12" s="1">
        <v>40</v>
      </c>
      <c r="J12" s="3">
        <v>1.81</v>
      </c>
      <c r="K12" s="3">
        <v>1.72</v>
      </c>
      <c r="L12" s="3">
        <v>1.31</v>
      </c>
      <c r="M12" s="3">
        <v>1.33</v>
      </c>
      <c r="N12" s="3">
        <v>1.29</v>
      </c>
      <c r="O12" s="3">
        <v>1.25</v>
      </c>
      <c r="P12" t="str">
        <f t="shared" si="1"/>
        <v>1.45±0.36</v>
      </c>
    </row>
    <row r="13" spans="1:16" x14ac:dyDescent="0.25">
      <c r="A13" s="1">
        <v>30</v>
      </c>
      <c r="B13" s="3">
        <v>10.48</v>
      </c>
      <c r="C13" s="3">
        <v>8.49</v>
      </c>
      <c r="D13" s="3">
        <v>8.07</v>
      </c>
      <c r="E13" s="3">
        <v>7.54</v>
      </c>
      <c r="F13" s="3">
        <v>7.58</v>
      </c>
      <c r="G13" s="3">
        <v>7.36</v>
      </c>
      <c r="H13" t="str">
        <f t="shared" si="0"/>
        <v>8.25±2.23</v>
      </c>
      <c r="I13" s="1">
        <v>30</v>
      </c>
      <c r="J13" s="3">
        <v>2.13</v>
      </c>
      <c r="K13" s="3">
        <v>1.71</v>
      </c>
      <c r="L13" s="3">
        <v>1.62</v>
      </c>
      <c r="M13" s="3">
        <v>1.54</v>
      </c>
      <c r="N13" s="3">
        <v>1.55</v>
      </c>
      <c r="O13" s="3">
        <v>1.47</v>
      </c>
      <c r="P13" t="str">
        <f t="shared" si="1"/>
        <v>1.67±0.46</v>
      </c>
    </row>
    <row r="14" spans="1:16" x14ac:dyDescent="0.25">
      <c r="A14" s="1">
        <v>20</v>
      </c>
      <c r="B14" s="3">
        <v>9.68</v>
      </c>
      <c r="C14" s="3">
        <v>10.54</v>
      </c>
      <c r="D14" s="3">
        <v>9.25</v>
      </c>
      <c r="E14" s="3">
        <v>9.2200000000000006</v>
      </c>
      <c r="F14" s="3">
        <v>8.89</v>
      </c>
      <c r="G14" s="3">
        <v>8.73</v>
      </c>
      <c r="H14" t="str">
        <f t="shared" si="0"/>
        <v>9.39±1.16</v>
      </c>
      <c r="I14" s="1">
        <v>20</v>
      </c>
      <c r="J14" s="3">
        <v>1.98</v>
      </c>
      <c r="K14" s="3">
        <v>2.12</v>
      </c>
      <c r="L14" s="3">
        <v>1.9</v>
      </c>
      <c r="M14" s="3">
        <v>1.94</v>
      </c>
      <c r="N14" s="3">
        <v>1.84</v>
      </c>
      <c r="O14" s="3">
        <v>1.79</v>
      </c>
      <c r="P14" t="str">
        <f t="shared" si="1"/>
        <v>1.93±0.19</v>
      </c>
    </row>
    <row r="15" spans="1:16" x14ac:dyDescent="0.25">
      <c r="A15" s="1">
        <v>10</v>
      </c>
      <c r="B15" s="3">
        <v>10.23</v>
      </c>
      <c r="C15" s="3">
        <v>9.6999999999999993</v>
      </c>
      <c r="D15" s="3">
        <v>8.99</v>
      </c>
      <c r="E15" s="3">
        <v>8.7899999999999991</v>
      </c>
      <c r="F15" s="3">
        <v>7.31</v>
      </c>
      <c r="G15" s="3">
        <v>7.23</v>
      </c>
      <c r="H15" t="str">
        <f t="shared" si="0"/>
        <v>8.71±1.52</v>
      </c>
      <c r="I15" s="1">
        <v>10</v>
      </c>
      <c r="J15" s="3">
        <v>1.83</v>
      </c>
      <c r="K15" s="3">
        <v>1.8</v>
      </c>
      <c r="L15" s="3">
        <v>1.72</v>
      </c>
      <c r="M15" s="3">
        <v>1.73</v>
      </c>
      <c r="N15" s="3">
        <v>1.38</v>
      </c>
      <c r="O15" s="3">
        <v>1.38</v>
      </c>
      <c r="P15" t="str">
        <f t="shared" si="1"/>
        <v>1.64±0.19</v>
      </c>
    </row>
  </sheetData>
  <mergeCells count="4">
    <mergeCell ref="A1:G1"/>
    <mergeCell ref="I1:O1"/>
    <mergeCell ref="A9:G9"/>
    <mergeCell ref="I9:O9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zoomScale="130" zoomScaleNormal="130" workbookViewId="0">
      <selection activeCell="Q5" sqref="Q5"/>
    </sheetView>
  </sheetViews>
  <sheetFormatPr defaultColWidth="9" defaultRowHeight="14.4" x14ac:dyDescent="0.25"/>
  <cols>
    <col min="1" max="1" width="19.21875" customWidth="1"/>
    <col min="8" max="8" width="13.88671875" customWidth="1"/>
    <col min="9" max="9" width="19" customWidth="1"/>
    <col min="16" max="16" width="14.5546875" customWidth="1"/>
  </cols>
  <sheetData>
    <row r="1" spans="1:16" x14ac:dyDescent="0.25">
      <c r="A1" s="6" t="s">
        <v>1</v>
      </c>
      <c r="B1" s="7"/>
      <c r="C1" s="7"/>
      <c r="D1" s="7"/>
      <c r="E1" s="7"/>
      <c r="F1" s="7"/>
      <c r="G1" s="7"/>
      <c r="I1" s="6" t="s">
        <v>0</v>
      </c>
      <c r="J1" s="7"/>
      <c r="K1" s="7"/>
      <c r="L1" s="7"/>
      <c r="M1" s="7"/>
      <c r="N1" s="7"/>
      <c r="O1" s="7"/>
    </row>
    <row r="2" spans="1:16" x14ac:dyDescent="0.25">
      <c r="A2" s="1" t="s">
        <v>4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I2" s="1" t="s">
        <v>4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6" x14ac:dyDescent="0.25">
      <c r="A3" s="1">
        <v>52</v>
      </c>
      <c r="B3" s="3">
        <v>9.25</v>
      </c>
      <c r="C3" s="3">
        <v>9.0399999999999991</v>
      </c>
      <c r="D3" s="3">
        <v>8.64</v>
      </c>
      <c r="E3" s="3">
        <v>8.25</v>
      </c>
      <c r="F3" s="3">
        <v>8.49</v>
      </c>
      <c r="G3" s="3">
        <v>8.69</v>
      </c>
      <c r="H3" t="str">
        <f>TEXT(AVERAGE(B3:G3),"0.00")&amp;"±"&amp;TEXT((MAX(B3:G3)-AVERAGE(B3:G3)),"0.00")</f>
        <v>8.73±0.52</v>
      </c>
      <c r="I3" s="1">
        <v>52</v>
      </c>
      <c r="J3" s="3">
        <v>0.97</v>
      </c>
      <c r="K3" s="3">
        <v>0.94</v>
      </c>
      <c r="L3" s="3">
        <v>0.92</v>
      </c>
      <c r="M3" s="3">
        <v>0.87</v>
      </c>
      <c r="N3" s="3">
        <v>0.89</v>
      </c>
      <c r="O3" s="3">
        <v>0.9</v>
      </c>
      <c r="P3" t="str">
        <f>TEXT(AVERAGE(J3:O3),"0.00")&amp;"±"&amp;TEXT((MAX(J3:O3)-AVERAGE(J3:O3)),"0.00")</f>
        <v>0.92±0.05</v>
      </c>
    </row>
    <row r="4" spans="1:16" x14ac:dyDescent="0.25">
      <c r="A4" s="1">
        <v>40</v>
      </c>
      <c r="B4" s="3">
        <v>10.29</v>
      </c>
      <c r="C4" s="3">
        <v>9.89</v>
      </c>
      <c r="D4" s="3">
        <v>9.94</v>
      </c>
      <c r="E4" s="3">
        <v>9.51</v>
      </c>
      <c r="F4" s="3">
        <v>9.91</v>
      </c>
      <c r="G4" s="3">
        <v>9.99</v>
      </c>
      <c r="H4" t="str">
        <f t="shared" ref="H4:H15" si="0">TEXT(AVERAGE(B4:G4),"0.00")&amp;"±"&amp;TEXT((MAX(B4:G4)-AVERAGE(B4:G4)),"0.00")</f>
        <v>9.92±0.37</v>
      </c>
      <c r="I4" s="1">
        <v>40</v>
      </c>
      <c r="J4" s="3">
        <v>1.06</v>
      </c>
      <c r="K4" s="3">
        <v>1.01</v>
      </c>
      <c r="L4" s="3">
        <v>1.02</v>
      </c>
      <c r="M4" s="3">
        <v>0.98</v>
      </c>
      <c r="N4" s="3">
        <v>1.01</v>
      </c>
      <c r="O4" s="3">
        <v>1.01</v>
      </c>
      <c r="P4" t="str">
        <f t="shared" ref="P4:P15" si="1">TEXT(AVERAGE(J4:O4),"0.00")&amp;"±"&amp;TEXT((MAX(J4:O4)-AVERAGE(J4:O4)),"0.00")</f>
        <v>1.02±0.05</v>
      </c>
    </row>
    <row r="5" spans="1:16" x14ac:dyDescent="0.25">
      <c r="A5" s="1">
        <v>30</v>
      </c>
      <c r="B5" s="5">
        <v>10.81</v>
      </c>
      <c r="C5" s="5">
        <v>10.292</v>
      </c>
      <c r="D5" s="5">
        <v>10.15</v>
      </c>
      <c r="E5" s="5">
        <v>9.5289999999999999</v>
      </c>
      <c r="F5" s="5">
        <v>10.019</v>
      </c>
      <c r="G5" s="5">
        <v>10.204000000000001</v>
      </c>
      <c r="H5" t="str">
        <f t="shared" si="0"/>
        <v>10.17±0.64</v>
      </c>
      <c r="I5" s="1">
        <v>30</v>
      </c>
      <c r="J5" s="3">
        <v>1.07</v>
      </c>
      <c r="K5" s="3">
        <v>1.02</v>
      </c>
      <c r="L5" s="3">
        <v>0.99</v>
      </c>
      <c r="M5" s="3">
        <v>0.94</v>
      </c>
      <c r="N5" s="3">
        <v>0.97</v>
      </c>
      <c r="O5" s="3">
        <v>0.98</v>
      </c>
      <c r="P5" t="str">
        <f t="shared" si="1"/>
        <v>1.00±0.08</v>
      </c>
    </row>
    <row r="6" spans="1:16" x14ac:dyDescent="0.25">
      <c r="A6" s="1">
        <v>20</v>
      </c>
      <c r="B6" s="3">
        <v>11.45</v>
      </c>
      <c r="C6" s="3">
        <v>11.41</v>
      </c>
      <c r="D6" s="3">
        <v>11.19</v>
      </c>
      <c r="E6" s="3">
        <v>10.82</v>
      </c>
      <c r="F6" s="3">
        <v>11.35</v>
      </c>
      <c r="G6" s="3">
        <v>11.23</v>
      </c>
      <c r="H6" t="str">
        <f t="shared" si="0"/>
        <v>11.24±0.21</v>
      </c>
      <c r="I6" s="1">
        <v>20</v>
      </c>
      <c r="J6" s="3">
        <v>1.18</v>
      </c>
      <c r="K6" s="3">
        <v>1.2</v>
      </c>
      <c r="L6" s="3">
        <v>1.1399999999999999</v>
      </c>
      <c r="M6" s="3">
        <v>1.1000000000000001</v>
      </c>
      <c r="N6" s="3">
        <v>1.1599999999999999</v>
      </c>
      <c r="O6" s="3">
        <v>1.1499999999999999</v>
      </c>
      <c r="P6" t="str">
        <f t="shared" si="1"/>
        <v>1.16±0.04</v>
      </c>
    </row>
    <row r="7" spans="1:16" x14ac:dyDescent="0.25">
      <c r="A7" s="1">
        <v>10</v>
      </c>
      <c r="B7" s="3">
        <v>11.95</v>
      </c>
      <c r="C7" s="3">
        <v>11.85</v>
      </c>
      <c r="D7" s="3">
        <v>11.8</v>
      </c>
      <c r="E7" s="3">
        <v>11.49</v>
      </c>
      <c r="F7" s="3">
        <v>11.19</v>
      </c>
      <c r="G7" s="3">
        <v>12.24</v>
      </c>
      <c r="H7" t="str">
        <f t="shared" si="0"/>
        <v>11.75±0.49</v>
      </c>
      <c r="I7" s="1">
        <v>10</v>
      </c>
      <c r="J7" s="3">
        <v>1.1599999999999999</v>
      </c>
      <c r="K7" s="3">
        <v>1.1399999999999999</v>
      </c>
      <c r="L7" s="3">
        <v>1.1499999999999999</v>
      </c>
      <c r="M7" s="3">
        <v>1.0900000000000001</v>
      </c>
      <c r="N7" s="3">
        <v>1.08</v>
      </c>
      <c r="O7" s="3">
        <v>1.19</v>
      </c>
      <c r="P7" t="str">
        <f t="shared" si="1"/>
        <v>1.14±0.05</v>
      </c>
    </row>
    <row r="8" spans="1:16" x14ac:dyDescent="0.25">
      <c r="A8" s="1"/>
      <c r="B8" s="2"/>
      <c r="C8" s="2"/>
      <c r="D8" s="2"/>
      <c r="E8" s="2"/>
      <c r="F8" s="2"/>
      <c r="G8" s="2"/>
      <c r="I8" s="2"/>
      <c r="J8" s="2"/>
      <c r="K8" s="2"/>
      <c r="L8" s="2"/>
      <c r="M8" s="2"/>
      <c r="N8" s="1"/>
      <c r="O8" s="2"/>
    </row>
    <row r="9" spans="1:16" x14ac:dyDescent="0.25">
      <c r="A9" s="6" t="s">
        <v>2</v>
      </c>
      <c r="B9" s="6"/>
      <c r="C9" s="6"/>
      <c r="D9" s="6"/>
      <c r="E9" s="6"/>
      <c r="F9" s="6"/>
      <c r="G9" s="6"/>
      <c r="I9" s="6" t="s">
        <v>3</v>
      </c>
      <c r="J9" s="6"/>
      <c r="K9" s="6"/>
      <c r="L9" s="6"/>
      <c r="M9" s="6"/>
      <c r="N9" s="6"/>
      <c r="O9" s="6"/>
    </row>
    <row r="10" spans="1:16" x14ac:dyDescent="0.25">
      <c r="A10" s="1" t="s">
        <v>4</v>
      </c>
      <c r="B10" s="2">
        <v>30</v>
      </c>
      <c r="C10" s="2">
        <v>60</v>
      </c>
      <c r="D10" s="2">
        <v>120</v>
      </c>
      <c r="E10" s="2">
        <v>240</v>
      </c>
      <c r="F10" s="2">
        <v>360</v>
      </c>
      <c r="G10" s="2">
        <v>480</v>
      </c>
      <c r="I10" s="1" t="s">
        <v>4</v>
      </c>
      <c r="J10" s="2">
        <v>30</v>
      </c>
      <c r="K10" s="2">
        <v>60</v>
      </c>
      <c r="L10" s="2">
        <v>120</v>
      </c>
      <c r="M10" s="2">
        <v>240</v>
      </c>
      <c r="N10" s="1">
        <v>360</v>
      </c>
      <c r="O10" s="2">
        <v>480</v>
      </c>
    </row>
    <row r="11" spans="1:16" x14ac:dyDescent="0.25">
      <c r="A11" s="1">
        <v>52</v>
      </c>
      <c r="B11" s="3">
        <v>9.01</v>
      </c>
      <c r="C11" s="3">
        <v>9.44</v>
      </c>
      <c r="D11" s="3">
        <v>9.34</v>
      </c>
      <c r="E11" s="3">
        <v>8.65</v>
      </c>
      <c r="F11" s="3">
        <v>8.81</v>
      </c>
      <c r="G11" s="3">
        <v>8.9</v>
      </c>
      <c r="H11" t="str">
        <f t="shared" si="0"/>
        <v>9.03±0.41</v>
      </c>
      <c r="I11" s="1">
        <v>52</v>
      </c>
      <c r="J11" s="3">
        <v>2.79</v>
      </c>
      <c r="K11" s="3">
        <v>2.99</v>
      </c>
      <c r="L11" s="3">
        <v>3</v>
      </c>
      <c r="M11" s="3">
        <v>2.8</v>
      </c>
      <c r="N11" s="3">
        <v>2.88</v>
      </c>
      <c r="O11" s="3">
        <v>2.9</v>
      </c>
      <c r="P11" t="str">
        <f t="shared" si="1"/>
        <v>2.89±0.11</v>
      </c>
    </row>
    <row r="12" spans="1:16" x14ac:dyDescent="0.25">
      <c r="A12" s="1">
        <v>40</v>
      </c>
      <c r="B12" s="3">
        <v>8.68</v>
      </c>
      <c r="C12" s="3">
        <v>8.81</v>
      </c>
      <c r="D12" s="3">
        <v>10.16</v>
      </c>
      <c r="E12" s="3">
        <v>10.46</v>
      </c>
      <c r="F12" s="3">
        <v>9.02</v>
      </c>
      <c r="G12" s="3">
        <v>9.31</v>
      </c>
      <c r="H12" t="str">
        <f t="shared" si="0"/>
        <v>9.41±1.05</v>
      </c>
      <c r="I12" s="1">
        <v>40</v>
      </c>
      <c r="J12" s="3">
        <v>2.54</v>
      </c>
      <c r="K12" s="3">
        <v>2.58</v>
      </c>
      <c r="L12" s="3">
        <v>3.07</v>
      </c>
      <c r="M12" s="3">
        <v>3.2</v>
      </c>
      <c r="N12" s="3">
        <v>2.7</v>
      </c>
      <c r="O12" s="3">
        <v>2.82</v>
      </c>
      <c r="P12" t="str">
        <f t="shared" si="1"/>
        <v>2.82±0.38</v>
      </c>
    </row>
    <row r="13" spans="1:16" x14ac:dyDescent="0.25">
      <c r="A13" s="1">
        <v>30</v>
      </c>
      <c r="B13" s="3">
        <v>9</v>
      </c>
      <c r="C13" s="3">
        <v>9.57</v>
      </c>
      <c r="D13" s="3">
        <v>9.14</v>
      </c>
      <c r="E13" s="3">
        <v>9.94</v>
      </c>
      <c r="F13" s="3">
        <v>9.1999999999999993</v>
      </c>
      <c r="G13" s="3">
        <v>9.3699999999999992</v>
      </c>
      <c r="H13" t="str">
        <f t="shared" si="0"/>
        <v>9.37±0.57</v>
      </c>
      <c r="I13" s="1">
        <v>30</v>
      </c>
      <c r="J13" s="3">
        <v>2.4500000000000002</v>
      </c>
      <c r="K13" s="3">
        <v>2.62</v>
      </c>
      <c r="L13" s="3">
        <v>2.52</v>
      </c>
      <c r="M13" s="3">
        <v>2.82</v>
      </c>
      <c r="N13" s="3">
        <v>2.54</v>
      </c>
      <c r="O13" s="3">
        <v>2.62</v>
      </c>
      <c r="P13" t="str">
        <f t="shared" si="1"/>
        <v>2.60±0.23</v>
      </c>
    </row>
    <row r="14" spans="1:16" x14ac:dyDescent="0.25">
      <c r="A14" s="1">
        <v>20</v>
      </c>
      <c r="B14" s="3">
        <v>8.11</v>
      </c>
      <c r="C14" s="3">
        <v>10.42</v>
      </c>
      <c r="D14" s="3">
        <v>9.11</v>
      </c>
      <c r="E14" s="3">
        <v>9.7200000000000006</v>
      </c>
      <c r="F14" s="3">
        <v>9.86</v>
      </c>
      <c r="G14" s="3">
        <v>9.4600000000000009</v>
      </c>
      <c r="H14" t="str">
        <f t="shared" si="0"/>
        <v>9.45±0.97</v>
      </c>
      <c r="I14" s="1">
        <v>20</v>
      </c>
      <c r="J14" s="3">
        <v>2.19</v>
      </c>
      <c r="K14" s="3">
        <v>2.88</v>
      </c>
      <c r="L14" s="3">
        <v>2.46</v>
      </c>
      <c r="M14" s="3">
        <v>2.66</v>
      </c>
      <c r="N14" s="3">
        <v>2.71</v>
      </c>
      <c r="O14" s="3">
        <v>2.57</v>
      </c>
      <c r="P14" t="str">
        <f t="shared" si="1"/>
        <v>2.58±0.30</v>
      </c>
    </row>
    <row r="15" spans="1:16" x14ac:dyDescent="0.25">
      <c r="A15" s="1">
        <v>10</v>
      </c>
      <c r="B15" s="3">
        <v>8.2799999999999994</v>
      </c>
      <c r="C15" s="3">
        <v>8.06</v>
      </c>
      <c r="D15" s="3">
        <v>7.63</v>
      </c>
      <c r="E15" s="3">
        <v>7.68</v>
      </c>
      <c r="F15" s="3">
        <v>7.61</v>
      </c>
      <c r="G15" s="3">
        <v>7.59</v>
      </c>
      <c r="H15" t="str">
        <f t="shared" si="0"/>
        <v>7.81±0.47</v>
      </c>
      <c r="I15" s="1">
        <v>10</v>
      </c>
      <c r="J15" s="3">
        <v>2.17</v>
      </c>
      <c r="K15" s="3">
        <v>2.17</v>
      </c>
      <c r="L15" s="3">
        <v>2.0099999999999998</v>
      </c>
      <c r="M15" s="3">
        <v>2.0299999999999998</v>
      </c>
      <c r="N15" s="3">
        <v>1.98</v>
      </c>
      <c r="O15" s="3">
        <v>1.98</v>
      </c>
      <c r="P15" t="str">
        <f t="shared" si="1"/>
        <v>2.06±0.11</v>
      </c>
    </row>
    <row r="18" spans="5:10" x14ac:dyDescent="0.25">
      <c r="E18" s="3"/>
      <c r="F18" s="3"/>
      <c r="G18" s="3"/>
      <c r="H18" s="3"/>
      <c r="I18" s="3"/>
      <c r="J18" s="3"/>
    </row>
    <row r="21" spans="5:10" x14ac:dyDescent="0.25">
      <c r="E21" s="4"/>
      <c r="F21" s="4"/>
    </row>
    <row r="22" spans="5:10" x14ac:dyDescent="0.25">
      <c r="E22" s="4"/>
      <c r="F22" s="4"/>
    </row>
    <row r="23" spans="5:10" x14ac:dyDescent="0.25">
      <c r="E23" s="4"/>
      <c r="F23" s="4"/>
    </row>
    <row r="24" spans="5:10" x14ac:dyDescent="0.25">
      <c r="E24" s="4"/>
      <c r="F24" s="4"/>
    </row>
    <row r="25" spans="5:10" x14ac:dyDescent="0.25">
      <c r="E25" s="4"/>
      <c r="F25" s="4"/>
    </row>
    <row r="26" spans="5:10" x14ac:dyDescent="0.25">
      <c r="E26" s="4"/>
      <c r="F26" s="4"/>
    </row>
  </sheetData>
  <mergeCells count="4">
    <mergeCell ref="A1:G1"/>
    <mergeCell ref="I1:O1"/>
    <mergeCell ref="A9:G9"/>
    <mergeCell ref="I9:O9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Caltech</vt:lpstr>
      <vt:lpstr>JPL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2026-05-10T07:48:16Z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