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esktop\github上传程序代码\Robustness Study\JPL\"/>
    </mc:Choice>
  </mc:AlternateContent>
  <xr:revisionPtr revIDLastSave="0" documentId="13_ncr:1_{1B8EEE12-CC3D-47F4-8C28-BF0C96792893}" xr6:coauthVersionLast="47" xr6:coauthVersionMax="47" xr10:uidLastSave="{00000000-0000-0000-0000-000000000000}"/>
  <bookViews>
    <workbookView xWindow="28680" yWindow="-120" windowWidth="29040" windowHeight="15840" activeTab="6" xr2:uid="{00000000-000D-0000-FFFF-FFFF00000000}"/>
  </bookViews>
  <sheets>
    <sheet name="base" sheetId="7" r:id="rId1"/>
    <sheet name="extreme5%" sheetId="1" r:id="rId2"/>
    <sheet name="extreme10%" sheetId="4" r:id="rId3"/>
    <sheet name="extreme15%" sheetId="5" r:id="rId4"/>
    <sheet name="missing5%" sheetId="6" r:id="rId5"/>
    <sheet name="missing10%" sheetId="2" r:id="rId6"/>
    <sheet name="missing15%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Q15" i="1"/>
  <c r="Q4" i="7"/>
  <c r="Q5" i="7"/>
  <c r="Q6" i="7"/>
  <c r="Q7" i="7"/>
  <c r="Q8" i="7"/>
  <c r="Q9" i="7"/>
  <c r="Q10" i="7"/>
  <c r="Q11" i="7"/>
  <c r="Q15" i="7"/>
  <c r="Q16" i="7"/>
  <c r="Q17" i="7"/>
  <c r="Q18" i="7"/>
  <c r="Q19" i="7"/>
  <c r="Q20" i="7"/>
  <c r="Q21" i="7"/>
  <c r="Q22" i="7"/>
  <c r="Q23" i="7"/>
  <c r="Q4" i="1"/>
  <c r="Q5" i="1"/>
  <c r="Q6" i="1"/>
  <c r="Q7" i="1"/>
  <c r="Q8" i="1"/>
  <c r="Q9" i="1"/>
  <c r="Q10" i="1"/>
  <c r="Q11" i="1"/>
  <c r="Q16" i="1"/>
  <c r="Q17" i="1"/>
  <c r="Q18" i="1"/>
  <c r="Q19" i="1"/>
  <c r="Q20" i="1"/>
  <c r="Q21" i="1"/>
  <c r="Q22" i="1"/>
  <c r="Q23" i="1"/>
  <c r="Q4" i="4"/>
  <c r="Q5" i="4"/>
  <c r="Q6" i="4"/>
  <c r="Q7" i="4"/>
  <c r="Q8" i="4"/>
  <c r="Q9" i="4"/>
  <c r="Q10" i="4"/>
  <c r="Q11" i="4"/>
  <c r="Q15" i="4"/>
  <c r="Q16" i="4"/>
  <c r="Q17" i="4"/>
  <c r="Q18" i="4"/>
  <c r="Q19" i="4"/>
  <c r="Q20" i="4"/>
  <c r="Q21" i="4"/>
  <c r="Q22" i="4"/>
  <c r="Q23" i="4"/>
  <c r="Q4" i="5"/>
  <c r="Q5" i="5"/>
  <c r="Q6" i="5"/>
  <c r="Q7" i="5"/>
  <c r="Q8" i="5"/>
  <c r="Q9" i="5"/>
  <c r="Q10" i="5"/>
  <c r="Q11" i="5"/>
  <c r="Q15" i="5"/>
  <c r="Q16" i="5"/>
  <c r="Q17" i="5"/>
  <c r="Q18" i="5"/>
  <c r="Q19" i="5"/>
  <c r="Q20" i="5"/>
  <c r="Q21" i="5"/>
  <c r="Q22" i="5"/>
  <c r="Q23" i="5"/>
  <c r="Q4" i="6"/>
  <c r="Q5" i="6"/>
  <c r="Q6" i="6"/>
  <c r="Q7" i="6"/>
  <c r="Q8" i="6"/>
  <c r="Q9" i="6"/>
  <c r="Q10" i="6"/>
  <c r="Q11" i="6"/>
  <c r="Q15" i="6"/>
  <c r="Q16" i="6"/>
  <c r="Q17" i="6"/>
  <c r="Q18" i="6"/>
  <c r="Q19" i="6"/>
  <c r="Q20" i="6"/>
  <c r="Q21" i="6"/>
  <c r="Q22" i="6"/>
  <c r="Q23" i="6"/>
  <c r="Q4" i="2"/>
  <c r="Q5" i="2"/>
  <c r="Q6" i="2"/>
  <c r="Q7" i="2"/>
  <c r="Q8" i="2"/>
  <c r="Q9" i="2"/>
  <c r="Q10" i="2"/>
  <c r="Q11" i="2"/>
  <c r="Q15" i="2"/>
  <c r="Q16" i="2"/>
  <c r="Q17" i="2"/>
  <c r="Q18" i="2"/>
  <c r="Q19" i="2"/>
  <c r="Q20" i="2"/>
  <c r="Q21" i="2"/>
  <c r="Q22" i="2"/>
  <c r="Q23" i="2"/>
  <c r="Q4" i="3"/>
  <c r="Q5" i="3"/>
  <c r="Q6" i="3"/>
  <c r="Q7" i="3"/>
  <c r="Q8" i="3"/>
  <c r="Q9" i="3"/>
  <c r="Q10" i="3"/>
  <c r="Q11" i="3"/>
  <c r="Q15" i="3"/>
  <c r="Q16" i="3"/>
  <c r="Q17" i="3"/>
  <c r="Q18" i="3"/>
  <c r="Q19" i="3"/>
  <c r="Q20" i="3"/>
  <c r="Q21" i="3"/>
  <c r="Q22" i="3"/>
  <c r="Q23" i="3"/>
  <c r="Q3" i="3"/>
  <c r="Q3" i="2"/>
  <c r="Q3" i="6"/>
  <c r="Q3" i="5"/>
  <c r="Q3" i="4"/>
  <c r="Q3" i="1"/>
  <c r="H4" i="7"/>
  <c r="H5" i="7"/>
  <c r="H6" i="7"/>
  <c r="H7" i="7"/>
  <c r="H8" i="7"/>
  <c r="H9" i="7"/>
  <c r="H10" i="7"/>
  <c r="H11" i="7"/>
  <c r="H15" i="7"/>
  <c r="H16" i="7"/>
  <c r="H17" i="7"/>
  <c r="H18" i="7"/>
  <c r="H19" i="7"/>
  <c r="H20" i="7"/>
  <c r="H21" i="7"/>
  <c r="H22" i="7"/>
  <c r="H23" i="7"/>
  <c r="H4" i="1"/>
  <c r="H5" i="1"/>
  <c r="H6" i="1"/>
  <c r="H7" i="1"/>
  <c r="H8" i="1"/>
  <c r="H9" i="1"/>
  <c r="H10" i="1"/>
  <c r="H11" i="1"/>
  <c r="H16" i="1"/>
  <c r="H17" i="1"/>
  <c r="H18" i="1"/>
  <c r="H19" i="1"/>
  <c r="H20" i="1"/>
  <c r="H21" i="1"/>
  <c r="H22" i="1"/>
  <c r="H23" i="1"/>
  <c r="H4" i="4"/>
  <c r="H5" i="4"/>
  <c r="H6" i="4"/>
  <c r="H7" i="4"/>
  <c r="H8" i="4"/>
  <c r="H9" i="4"/>
  <c r="H10" i="4"/>
  <c r="H11" i="4"/>
  <c r="H15" i="4"/>
  <c r="H16" i="4"/>
  <c r="H17" i="4"/>
  <c r="H18" i="4"/>
  <c r="H19" i="4"/>
  <c r="H20" i="4"/>
  <c r="H21" i="4"/>
  <c r="H22" i="4"/>
  <c r="H23" i="4"/>
  <c r="H4" i="5"/>
  <c r="H5" i="5"/>
  <c r="H6" i="5"/>
  <c r="H7" i="5"/>
  <c r="H8" i="5"/>
  <c r="H9" i="5"/>
  <c r="H10" i="5"/>
  <c r="H11" i="5"/>
  <c r="H15" i="5"/>
  <c r="H16" i="5"/>
  <c r="H17" i="5"/>
  <c r="H18" i="5"/>
  <c r="H19" i="5"/>
  <c r="H20" i="5"/>
  <c r="H21" i="5"/>
  <c r="H22" i="5"/>
  <c r="H23" i="5"/>
  <c r="H4" i="6"/>
  <c r="H5" i="6"/>
  <c r="H6" i="6"/>
  <c r="H7" i="6"/>
  <c r="H8" i="6"/>
  <c r="H9" i="6"/>
  <c r="H10" i="6"/>
  <c r="H11" i="6"/>
  <c r="H15" i="6"/>
  <c r="H16" i="6"/>
  <c r="H17" i="6"/>
  <c r="H18" i="6"/>
  <c r="H19" i="6"/>
  <c r="H20" i="6"/>
  <c r="H21" i="6"/>
  <c r="H22" i="6"/>
  <c r="H23" i="6"/>
  <c r="H4" i="2"/>
  <c r="H5" i="2"/>
  <c r="H6" i="2"/>
  <c r="H7" i="2"/>
  <c r="H8" i="2"/>
  <c r="H9" i="2"/>
  <c r="H10" i="2"/>
  <c r="H11" i="2"/>
  <c r="H15" i="2"/>
  <c r="H16" i="2"/>
  <c r="H17" i="2"/>
  <c r="H18" i="2"/>
  <c r="H19" i="2"/>
  <c r="H20" i="2"/>
  <c r="H21" i="2"/>
  <c r="H22" i="2"/>
  <c r="H23" i="2"/>
  <c r="H4" i="3"/>
  <c r="H5" i="3"/>
  <c r="H6" i="3"/>
  <c r="H7" i="3"/>
  <c r="H8" i="3"/>
  <c r="H9" i="3"/>
  <c r="H10" i="3"/>
  <c r="H11" i="3"/>
  <c r="H15" i="3"/>
  <c r="H16" i="3"/>
  <c r="H17" i="3"/>
  <c r="H18" i="3"/>
  <c r="H19" i="3"/>
  <c r="H20" i="3"/>
  <c r="H21" i="3"/>
  <c r="H22" i="3"/>
  <c r="H23" i="3"/>
  <c r="H3" i="3"/>
  <c r="H3" i="2"/>
  <c r="H3" i="6"/>
  <c r="H3" i="5"/>
  <c r="H3" i="4"/>
  <c r="H3" i="1"/>
  <c r="Q3" i="7"/>
  <c r="H3" i="7"/>
</calcChain>
</file>

<file path=xl/sharedStrings.xml><?xml version="1.0" encoding="utf-8"?>
<sst xmlns="http://schemas.openxmlformats.org/spreadsheetml/2006/main" count="308" uniqueCount="14">
  <si>
    <t>ARIMA</t>
    <phoneticPr fontId="3" type="noConversion"/>
  </si>
  <si>
    <t>LSTM</t>
    <phoneticPr fontId="3" type="noConversion"/>
  </si>
  <si>
    <t>GRU</t>
    <phoneticPr fontId="3" type="noConversion"/>
  </si>
  <si>
    <t>TFT</t>
    <phoneticPr fontId="3" type="noConversion"/>
  </si>
  <si>
    <t>Autoformer</t>
    <phoneticPr fontId="3" type="noConversion"/>
  </si>
  <si>
    <t>PatchTST</t>
    <phoneticPr fontId="3" type="noConversion"/>
  </si>
  <si>
    <t>Dlinear</t>
    <phoneticPr fontId="3" type="noConversion"/>
  </si>
  <si>
    <t>iTransformer</t>
    <phoneticPr fontId="3" type="noConversion"/>
  </si>
  <si>
    <t>DLE</t>
    <phoneticPr fontId="3" type="noConversion"/>
  </si>
  <si>
    <t>Parking Duration (MAE)</t>
    <phoneticPr fontId="3" type="noConversion"/>
  </si>
  <si>
    <t>Parking Duration (SMAPE)</t>
    <phoneticPr fontId="3" type="noConversion"/>
  </si>
  <si>
    <t>Charging Capacity (MAE)</t>
    <phoneticPr fontId="3" type="noConversion"/>
  </si>
  <si>
    <t>Charging Capacity (SMAPE)</t>
    <phoneticPr fontId="3" type="noConversion"/>
  </si>
  <si>
    <t>Training 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</si>
</sst>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85FD1-CDE0-42DF-BD59-3117A86D579E}">
  <dimension ref="A1:Q23"/>
  <sheetViews>
    <sheetView zoomScale="130" zoomScaleNormal="130" workbookViewId="0">
      <selection activeCell="B26" sqref="B26"/>
    </sheetView>
  </sheetViews>
  <sheetFormatPr defaultRowHeight="14.4" x14ac:dyDescent="0.25"/>
  <cols>
    <col min="1" max="1" width="17.88671875" customWidth="1"/>
    <col min="8" max="8" width="15.88671875" customWidth="1"/>
    <col min="10" max="10" width="17.88671875" customWidth="1"/>
    <col min="17" max="17" width="14.77734375" customWidth="1"/>
  </cols>
  <sheetData>
    <row r="1" spans="1:17" x14ac:dyDescent="0.25">
      <c r="A1" s="5" t="s">
        <v>10</v>
      </c>
      <c r="B1" s="6"/>
      <c r="C1" s="6"/>
      <c r="D1" s="6"/>
      <c r="E1" s="6"/>
      <c r="F1" s="6"/>
      <c r="G1" s="6"/>
      <c r="J1" s="5" t="s">
        <v>9</v>
      </c>
      <c r="K1" s="6"/>
      <c r="L1" s="6"/>
      <c r="M1" s="6"/>
      <c r="N1" s="6"/>
      <c r="O1" s="6"/>
      <c r="P1" s="6"/>
    </row>
    <row r="2" spans="1:17" x14ac:dyDescent="0.25">
      <c r="A2" s="1" t="s">
        <v>13</v>
      </c>
      <c r="B2" s="2">
        <v>30</v>
      </c>
      <c r="C2" s="2">
        <v>60</v>
      </c>
      <c r="D2" s="2">
        <v>120</v>
      </c>
      <c r="E2" s="2">
        <v>240</v>
      </c>
      <c r="F2" s="2">
        <v>360</v>
      </c>
      <c r="G2" s="2">
        <v>480</v>
      </c>
      <c r="J2" s="1" t="s">
        <v>13</v>
      </c>
      <c r="K2" s="2">
        <v>30</v>
      </c>
      <c r="L2" s="2">
        <v>60</v>
      </c>
      <c r="M2" s="2">
        <v>120</v>
      </c>
      <c r="N2" s="2">
        <v>240</v>
      </c>
      <c r="O2" s="2">
        <v>360</v>
      </c>
      <c r="P2" s="2">
        <v>480</v>
      </c>
    </row>
    <row r="3" spans="1:17" x14ac:dyDescent="0.25">
      <c r="A3" s="1" t="s">
        <v>0</v>
      </c>
      <c r="B3" s="2">
        <v>41.72</v>
      </c>
      <c r="C3" s="2">
        <v>40.78</v>
      </c>
      <c r="D3" s="2">
        <v>41.89</v>
      </c>
      <c r="E3" s="2">
        <v>44.8</v>
      </c>
      <c r="F3" s="2">
        <v>45.41</v>
      </c>
      <c r="G3" s="2">
        <v>45.77</v>
      </c>
      <c r="H3" t="str">
        <f>TEXT(AVERAGE(B3:G3),"0.00")&amp;"±"&amp;TEXT((MAX(B3:G3)-AVERAGE(B3:G3)),"0.00")</f>
        <v>43.40±2.38</v>
      </c>
      <c r="J3" s="1" t="s">
        <v>0</v>
      </c>
      <c r="K3" s="2">
        <v>3.94</v>
      </c>
      <c r="L3" s="2">
        <v>3.88</v>
      </c>
      <c r="M3" s="2">
        <v>3.95</v>
      </c>
      <c r="N3" s="2">
        <v>4.12</v>
      </c>
      <c r="O3" s="2">
        <v>4.17</v>
      </c>
      <c r="P3" s="2">
        <v>4.17</v>
      </c>
      <c r="Q3" t="str">
        <f>TEXT(AVERAGE(K3:P3),"0.00")&amp;"±"&amp;TEXT((MAX(K3:P3)-AVERAGE(K3:P3)),"0.00")</f>
        <v>4.04±0.13</v>
      </c>
    </row>
    <row r="4" spans="1:17" x14ac:dyDescent="0.25">
      <c r="A4" s="1" t="s">
        <v>1</v>
      </c>
      <c r="B4" s="2">
        <v>9.75</v>
      </c>
      <c r="C4" s="2">
        <v>9.9499999999999993</v>
      </c>
      <c r="D4" s="2">
        <v>9.82</v>
      </c>
      <c r="E4" s="2">
        <v>10.029999999999999</v>
      </c>
      <c r="F4" s="2">
        <v>9.5299999999999994</v>
      </c>
      <c r="G4" s="2">
        <v>10.54</v>
      </c>
      <c r="H4" t="str">
        <f t="shared" ref="H4:H23" si="0">TEXT(AVERAGE(B4:G4),"0.00")&amp;"±"&amp;TEXT((MAX(B4:G4)-AVERAGE(B4:G4)),"0.00")</f>
        <v>9.94±0.60</v>
      </c>
      <c r="J4" s="1" t="s">
        <v>1</v>
      </c>
      <c r="K4" s="2">
        <v>1</v>
      </c>
      <c r="L4" s="2">
        <v>1.05</v>
      </c>
      <c r="M4" s="2">
        <v>1.05</v>
      </c>
      <c r="N4" s="2">
        <v>1.05</v>
      </c>
      <c r="O4" s="2">
        <v>0.98</v>
      </c>
      <c r="P4" s="2">
        <v>1.07</v>
      </c>
      <c r="Q4" t="str">
        <f t="shared" ref="Q4:Q23" si="1">TEXT(AVERAGE(K4:P4),"0.00")&amp;"±"&amp;TEXT((MAX(K4:P4)-AVERAGE(K4:P4)),"0.00")</f>
        <v>1.03±0.04</v>
      </c>
    </row>
    <row r="5" spans="1:17" x14ac:dyDescent="0.25">
      <c r="A5" s="1" t="s">
        <v>2</v>
      </c>
      <c r="B5" s="2">
        <v>11.99</v>
      </c>
      <c r="C5" s="2">
        <v>11.33</v>
      </c>
      <c r="D5" s="2">
        <v>10.39</v>
      </c>
      <c r="E5" s="2">
        <v>9.9600000000000009</v>
      </c>
      <c r="F5" s="2">
        <v>8.94</v>
      </c>
      <c r="G5" s="2">
        <v>9.42</v>
      </c>
      <c r="H5" t="str">
        <f t="shared" si="0"/>
        <v>10.34±1.65</v>
      </c>
      <c r="J5" s="1" t="s">
        <v>2</v>
      </c>
      <c r="K5" s="2">
        <v>1.23</v>
      </c>
      <c r="L5" s="2">
        <v>1.2</v>
      </c>
      <c r="M5" s="2">
        <v>1.1399999999999999</v>
      </c>
      <c r="N5" s="2">
        <v>1.05</v>
      </c>
      <c r="O5" s="2">
        <v>0.91</v>
      </c>
      <c r="P5" s="2">
        <v>0.96</v>
      </c>
      <c r="Q5" t="str">
        <f t="shared" si="1"/>
        <v>1.08±0.15</v>
      </c>
    </row>
    <row r="6" spans="1:17" x14ac:dyDescent="0.25">
      <c r="A6" s="1" t="s">
        <v>3</v>
      </c>
      <c r="B6" s="3">
        <v>9.6259999999999994</v>
      </c>
      <c r="C6" s="2">
        <v>9.7479999999999993</v>
      </c>
      <c r="D6" s="2">
        <v>9.6690000000000005</v>
      </c>
      <c r="E6" s="2">
        <v>9.5429999999999993</v>
      </c>
      <c r="F6" s="2">
        <v>9.8770000000000007</v>
      </c>
      <c r="G6" s="2">
        <v>10.054</v>
      </c>
      <c r="H6" t="str">
        <f t="shared" si="0"/>
        <v>9.75±0.30</v>
      </c>
      <c r="I6" s="2"/>
      <c r="J6" s="1" t="s">
        <v>3</v>
      </c>
      <c r="K6" s="3">
        <v>1.0109999999999999</v>
      </c>
      <c r="L6" s="2">
        <v>1.0569999999999999</v>
      </c>
      <c r="M6" s="2">
        <v>1.03</v>
      </c>
      <c r="N6" s="2">
        <v>1.0389999999999999</v>
      </c>
      <c r="O6" s="1">
        <v>1.0009999999999999</v>
      </c>
      <c r="P6" s="2">
        <v>1.0249999999999999</v>
      </c>
      <c r="Q6" t="str">
        <f t="shared" si="1"/>
        <v>1.03±0.03</v>
      </c>
    </row>
    <row r="7" spans="1:17" x14ac:dyDescent="0.25">
      <c r="A7" s="1" t="s">
        <v>4</v>
      </c>
      <c r="B7" s="2">
        <v>11.627000000000001</v>
      </c>
      <c r="C7" s="2">
        <v>11.151</v>
      </c>
      <c r="D7" s="2">
        <v>10.625</v>
      </c>
      <c r="E7" s="2">
        <v>10.08</v>
      </c>
      <c r="F7" s="2">
        <v>9.7360000000000007</v>
      </c>
      <c r="G7" s="2">
        <v>10.436999999999999</v>
      </c>
      <c r="H7" t="str">
        <f t="shared" si="0"/>
        <v>10.61±1.02</v>
      </c>
      <c r="I7" s="2"/>
      <c r="J7" s="1" t="s">
        <v>4</v>
      </c>
      <c r="K7" s="2">
        <v>1.2430000000000001</v>
      </c>
      <c r="L7" s="2">
        <v>1.1639999999999999</v>
      </c>
      <c r="M7" s="2">
        <v>1.0880000000000001</v>
      </c>
      <c r="N7" s="2">
        <v>1.087</v>
      </c>
      <c r="O7" s="1">
        <v>1.056</v>
      </c>
      <c r="P7" s="2">
        <v>1.113</v>
      </c>
      <c r="Q7" t="str">
        <f t="shared" si="1"/>
        <v>1.13±0.12</v>
      </c>
    </row>
    <row r="8" spans="1:17" x14ac:dyDescent="0.25">
      <c r="A8" s="1" t="s">
        <v>5</v>
      </c>
      <c r="B8" s="2">
        <v>15.922000000000001</v>
      </c>
      <c r="C8" s="2">
        <v>12.683</v>
      </c>
      <c r="D8" s="2">
        <v>11.391</v>
      </c>
      <c r="E8" s="2">
        <v>11.223000000000001</v>
      </c>
      <c r="F8" s="2">
        <v>11.772</v>
      </c>
      <c r="G8" s="2">
        <v>12.141999999999999</v>
      </c>
      <c r="H8" t="str">
        <f t="shared" si="0"/>
        <v>12.52±3.40</v>
      </c>
      <c r="I8" s="2"/>
      <c r="J8" s="1" t="s">
        <v>5</v>
      </c>
      <c r="K8" s="2">
        <v>1.623</v>
      </c>
      <c r="L8" s="2">
        <v>1.3360000000000001</v>
      </c>
      <c r="M8" s="2">
        <v>1.248</v>
      </c>
      <c r="N8" s="2">
        <v>1.1499999999999999</v>
      </c>
      <c r="O8" s="1">
        <v>1.258</v>
      </c>
      <c r="P8" s="2">
        <v>1.2490000000000001</v>
      </c>
      <c r="Q8" t="str">
        <f t="shared" si="1"/>
        <v>1.31±0.31</v>
      </c>
    </row>
    <row r="9" spans="1:17" x14ac:dyDescent="0.25">
      <c r="A9" s="1" t="s">
        <v>6</v>
      </c>
      <c r="B9" s="2">
        <v>12.911</v>
      </c>
      <c r="C9" s="2">
        <v>12.36</v>
      </c>
      <c r="D9" s="2">
        <v>16.13</v>
      </c>
      <c r="E9" s="2">
        <v>10.154999999999999</v>
      </c>
      <c r="F9" s="2">
        <v>10.62</v>
      </c>
      <c r="G9" s="2">
        <v>11.122</v>
      </c>
      <c r="H9" t="str">
        <f t="shared" si="0"/>
        <v>12.22±3.91</v>
      </c>
      <c r="I9" s="2"/>
      <c r="J9" s="1" t="s">
        <v>6</v>
      </c>
      <c r="K9" s="2">
        <v>1.3340000000000001</v>
      </c>
      <c r="L9" s="2">
        <v>1.401</v>
      </c>
      <c r="M9" s="2">
        <v>1.87</v>
      </c>
      <c r="N9" s="2">
        <v>1.089</v>
      </c>
      <c r="O9" s="1">
        <v>1.099</v>
      </c>
      <c r="P9" s="2">
        <v>1.139</v>
      </c>
      <c r="Q9" t="str">
        <f t="shared" si="1"/>
        <v>1.32±0.55</v>
      </c>
    </row>
    <row r="10" spans="1:17" x14ac:dyDescent="0.25">
      <c r="A10" s="1" t="s">
        <v>7</v>
      </c>
      <c r="B10" s="2">
        <v>11.333</v>
      </c>
      <c r="C10" s="2">
        <v>11.827</v>
      </c>
      <c r="D10" s="2">
        <v>9.7710000000000008</v>
      </c>
      <c r="E10" s="2">
        <v>9.3369999999999997</v>
      </c>
      <c r="F10" s="2">
        <v>9.5129999999999999</v>
      </c>
      <c r="G10" s="2">
        <v>10.798999999999999</v>
      </c>
      <c r="H10" t="str">
        <f t="shared" si="0"/>
        <v>10.43±1.40</v>
      </c>
      <c r="I10" s="2"/>
      <c r="J10" s="1" t="s">
        <v>7</v>
      </c>
      <c r="K10" s="2">
        <v>1.167</v>
      </c>
      <c r="L10" s="2">
        <v>1.1890000000000001</v>
      </c>
      <c r="M10" s="2">
        <v>1.0669999999999999</v>
      </c>
      <c r="N10" s="2">
        <v>0.997</v>
      </c>
      <c r="O10" s="1">
        <v>1.0249999999999999</v>
      </c>
      <c r="P10" s="2">
        <v>1.1220000000000001</v>
      </c>
      <c r="Q10" t="str">
        <f t="shared" si="1"/>
        <v>1.09±0.09</v>
      </c>
    </row>
    <row r="11" spans="1:17" x14ac:dyDescent="0.25">
      <c r="A11" s="1" t="s">
        <v>8</v>
      </c>
      <c r="B11" s="4">
        <v>9.39</v>
      </c>
      <c r="C11" s="4">
        <v>9.06</v>
      </c>
      <c r="D11" s="4">
        <v>8.6999999999999993</v>
      </c>
      <c r="E11" s="4">
        <v>8.26</v>
      </c>
      <c r="F11" s="4">
        <v>8.6</v>
      </c>
      <c r="G11" s="4">
        <v>8.74</v>
      </c>
      <c r="H11" t="str">
        <f t="shared" si="0"/>
        <v>8.79±0.60</v>
      </c>
      <c r="J11" s="1" t="s">
        <v>8</v>
      </c>
      <c r="K11" s="4">
        <v>0.97</v>
      </c>
      <c r="L11" s="4">
        <v>0.94</v>
      </c>
      <c r="M11" s="4">
        <v>0.92</v>
      </c>
      <c r="N11" s="4">
        <v>0.87</v>
      </c>
      <c r="O11" s="4">
        <v>0.89</v>
      </c>
      <c r="P11" s="4">
        <v>0.9</v>
      </c>
      <c r="Q11" t="str">
        <f t="shared" si="1"/>
        <v>0.92±0.05</v>
      </c>
    </row>
    <row r="12" spans="1:17" x14ac:dyDescent="0.25">
      <c r="A12" s="1"/>
      <c r="B12" s="2"/>
      <c r="C12" s="2"/>
      <c r="D12" s="2"/>
      <c r="E12" s="2"/>
      <c r="F12" s="2"/>
      <c r="G12" s="2"/>
      <c r="I12" s="2"/>
      <c r="J12" s="2"/>
      <c r="K12" s="2"/>
      <c r="L12" s="2"/>
      <c r="M12" s="2"/>
      <c r="N12" s="2"/>
      <c r="O12" s="1"/>
      <c r="P12" s="2"/>
    </row>
    <row r="13" spans="1:17" x14ac:dyDescent="0.25">
      <c r="A13" s="5" t="s">
        <v>12</v>
      </c>
      <c r="B13" s="5"/>
      <c r="C13" s="5"/>
      <c r="D13" s="5"/>
      <c r="E13" s="5"/>
      <c r="F13" s="5"/>
      <c r="G13" s="5"/>
      <c r="I13" s="2"/>
      <c r="J13" s="5" t="s">
        <v>11</v>
      </c>
      <c r="K13" s="5"/>
      <c r="L13" s="5"/>
      <c r="M13" s="5"/>
      <c r="N13" s="5"/>
      <c r="O13" s="5"/>
      <c r="P13" s="5"/>
    </row>
    <row r="14" spans="1:17" x14ac:dyDescent="0.25">
      <c r="A14" s="1" t="s">
        <v>13</v>
      </c>
      <c r="B14" s="2">
        <v>30</v>
      </c>
      <c r="C14" s="2">
        <v>60</v>
      </c>
      <c r="D14" s="2">
        <v>120</v>
      </c>
      <c r="E14" s="2">
        <v>240</v>
      </c>
      <c r="F14" s="2">
        <v>360</v>
      </c>
      <c r="G14" s="2">
        <v>480</v>
      </c>
      <c r="I14" s="2"/>
      <c r="J14" s="1" t="s">
        <v>13</v>
      </c>
      <c r="K14" s="2">
        <v>30</v>
      </c>
      <c r="L14" s="2">
        <v>60</v>
      </c>
      <c r="M14" s="2">
        <v>120</v>
      </c>
      <c r="N14" s="2">
        <v>240</v>
      </c>
      <c r="O14" s="1">
        <v>360</v>
      </c>
      <c r="P14" s="2">
        <v>480</v>
      </c>
    </row>
    <row r="15" spans="1:17" x14ac:dyDescent="0.25">
      <c r="A15" s="1" t="s">
        <v>0</v>
      </c>
      <c r="B15" s="2">
        <v>16.59</v>
      </c>
      <c r="C15" s="2">
        <v>17.77</v>
      </c>
      <c r="D15" s="2">
        <v>17.77</v>
      </c>
      <c r="E15" s="2">
        <v>17.03</v>
      </c>
      <c r="F15" s="2">
        <v>17.399999999999999</v>
      </c>
      <c r="G15" s="2">
        <v>17.45</v>
      </c>
      <c r="H15" t="str">
        <f t="shared" si="0"/>
        <v>17.34±0.43</v>
      </c>
      <c r="I15" s="2"/>
      <c r="J15" s="1" t="s">
        <v>0</v>
      </c>
      <c r="K15" s="2">
        <v>5.16</v>
      </c>
      <c r="L15" s="2">
        <v>5.47</v>
      </c>
      <c r="M15" s="2">
        <v>5.47</v>
      </c>
      <c r="N15" s="2">
        <v>5.27</v>
      </c>
      <c r="O15" s="2">
        <v>5.37</v>
      </c>
      <c r="P15" s="2">
        <v>5.38</v>
      </c>
      <c r="Q15" t="str">
        <f t="shared" si="1"/>
        <v>5.35±0.12</v>
      </c>
    </row>
    <row r="16" spans="1:17" x14ac:dyDescent="0.25">
      <c r="A16" s="1" t="s">
        <v>1</v>
      </c>
      <c r="B16" s="2">
        <v>10.79</v>
      </c>
      <c r="C16" s="2">
        <v>10.87</v>
      </c>
      <c r="D16" s="2">
        <v>11.35</v>
      </c>
      <c r="E16" s="2">
        <v>15.48</v>
      </c>
      <c r="F16" s="2">
        <v>14.57</v>
      </c>
      <c r="G16" s="2">
        <v>15.19</v>
      </c>
      <c r="H16" t="str">
        <f t="shared" si="0"/>
        <v>13.04±2.44</v>
      </c>
      <c r="I16" s="2"/>
      <c r="J16" s="1" t="s">
        <v>1</v>
      </c>
      <c r="K16" s="2">
        <v>3.42</v>
      </c>
      <c r="L16" s="2">
        <v>3.42</v>
      </c>
      <c r="M16" s="2">
        <v>3.63</v>
      </c>
      <c r="N16" s="2">
        <v>4.8499999999999996</v>
      </c>
      <c r="O16" s="2">
        <v>4.58</v>
      </c>
      <c r="P16" s="2">
        <v>4.76</v>
      </c>
      <c r="Q16" t="str">
        <f t="shared" si="1"/>
        <v>4.11±0.74</v>
      </c>
    </row>
    <row r="17" spans="1:17" x14ac:dyDescent="0.25">
      <c r="A17" s="1" t="s">
        <v>2</v>
      </c>
      <c r="B17" s="2">
        <v>10.97</v>
      </c>
      <c r="C17" s="2">
        <v>14.79</v>
      </c>
      <c r="D17" s="2">
        <v>11.07</v>
      </c>
      <c r="E17" s="2">
        <v>10.89</v>
      </c>
      <c r="F17" s="2">
        <v>8.8699999999999992</v>
      </c>
      <c r="G17" s="2">
        <v>9.25</v>
      </c>
      <c r="H17" t="str">
        <f t="shared" si="0"/>
        <v>10.97±3.82</v>
      </c>
      <c r="I17" s="2"/>
      <c r="J17" s="1" t="s">
        <v>2</v>
      </c>
      <c r="K17" s="2">
        <v>3.47</v>
      </c>
      <c r="L17" s="2">
        <v>4.8099999999999996</v>
      </c>
      <c r="M17" s="2">
        <v>3.52</v>
      </c>
      <c r="N17" s="2">
        <v>3.38</v>
      </c>
      <c r="O17" s="2">
        <v>2.86</v>
      </c>
      <c r="P17" s="2">
        <v>3.01</v>
      </c>
      <c r="Q17" t="str">
        <f t="shared" si="1"/>
        <v>3.51±1.30</v>
      </c>
    </row>
    <row r="18" spans="1:17" x14ac:dyDescent="0.25">
      <c r="A18" s="1" t="s">
        <v>3</v>
      </c>
      <c r="B18" s="2">
        <v>10.994</v>
      </c>
      <c r="C18" s="2">
        <v>12.000999999999999</v>
      </c>
      <c r="D18" s="2">
        <v>12.295999999999999</v>
      </c>
      <c r="E18" s="2">
        <v>11.557</v>
      </c>
      <c r="F18" s="2">
        <v>11.522</v>
      </c>
      <c r="G18" s="2">
        <v>11.465999999999999</v>
      </c>
      <c r="H18" t="str">
        <f t="shared" si="0"/>
        <v>11.64±0.66</v>
      </c>
      <c r="I18" s="2"/>
      <c r="J18" s="1" t="s">
        <v>3</v>
      </c>
      <c r="K18" s="2">
        <v>3.44</v>
      </c>
      <c r="L18" s="2">
        <v>3.76</v>
      </c>
      <c r="M18" s="2">
        <v>3.8239999999999998</v>
      </c>
      <c r="N18" s="2">
        <v>3.5870000000000002</v>
      </c>
      <c r="O18" s="1">
        <v>3.573</v>
      </c>
      <c r="P18" s="2">
        <v>3.5590000000000002</v>
      </c>
      <c r="Q18" t="str">
        <f t="shared" si="1"/>
        <v>3.62±0.20</v>
      </c>
    </row>
    <row r="19" spans="1:17" x14ac:dyDescent="0.25">
      <c r="A19" s="1" t="s">
        <v>4</v>
      </c>
      <c r="B19" s="2">
        <v>11.048999999999999</v>
      </c>
      <c r="C19" s="2">
        <v>10.262</v>
      </c>
      <c r="D19" s="2">
        <v>10.286</v>
      </c>
      <c r="E19" s="2">
        <v>13.414999999999999</v>
      </c>
      <c r="F19" s="2">
        <v>12.092000000000001</v>
      </c>
      <c r="G19" s="2">
        <v>12.567</v>
      </c>
      <c r="H19" t="str">
        <f t="shared" si="0"/>
        <v>11.61±1.80</v>
      </c>
      <c r="I19" s="2"/>
      <c r="J19" s="1" t="s">
        <v>4</v>
      </c>
      <c r="K19" s="2">
        <v>3.4249999999999998</v>
      </c>
      <c r="L19" s="2">
        <v>3.2210000000000001</v>
      </c>
      <c r="M19" s="2">
        <v>3.286</v>
      </c>
      <c r="N19" s="2">
        <v>4.2030000000000003</v>
      </c>
      <c r="O19" s="1">
        <v>3.7629999999999999</v>
      </c>
      <c r="P19" s="2">
        <v>3.891</v>
      </c>
      <c r="Q19" t="str">
        <f t="shared" si="1"/>
        <v>3.63±0.57</v>
      </c>
    </row>
    <row r="20" spans="1:17" x14ac:dyDescent="0.25">
      <c r="A20" s="1" t="s">
        <v>5</v>
      </c>
      <c r="B20" s="2">
        <v>11.685</v>
      </c>
      <c r="C20" s="2">
        <v>13.752000000000001</v>
      </c>
      <c r="D20" s="2">
        <v>11.744999999999999</v>
      </c>
      <c r="E20" s="2">
        <v>11.49</v>
      </c>
      <c r="F20" s="2">
        <v>12.757999999999999</v>
      </c>
      <c r="G20" s="2">
        <v>10.63</v>
      </c>
      <c r="H20" t="str">
        <f t="shared" si="0"/>
        <v>12.01±1.74</v>
      </c>
      <c r="J20" s="1" t="s">
        <v>5</v>
      </c>
      <c r="K20" s="2">
        <v>3.633</v>
      </c>
      <c r="L20" s="2">
        <v>4.3360000000000003</v>
      </c>
      <c r="M20" s="2">
        <v>3.7029999999999998</v>
      </c>
      <c r="N20" s="2">
        <v>3.516</v>
      </c>
      <c r="O20" s="1">
        <v>3.9430000000000001</v>
      </c>
      <c r="P20" s="2">
        <v>3.31</v>
      </c>
      <c r="Q20" t="str">
        <f t="shared" si="1"/>
        <v>3.74±0.60</v>
      </c>
    </row>
    <row r="21" spans="1:17" x14ac:dyDescent="0.25">
      <c r="A21" s="1" t="s">
        <v>6</v>
      </c>
      <c r="B21" s="2">
        <v>10.837999999999999</v>
      </c>
      <c r="C21" s="2">
        <v>11.212</v>
      </c>
      <c r="D21" s="2">
        <v>16.100999999999999</v>
      </c>
      <c r="E21" s="2">
        <v>11.05</v>
      </c>
      <c r="F21" s="2">
        <v>11.448</v>
      </c>
      <c r="G21" s="2">
        <v>11.657999999999999</v>
      </c>
      <c r="H21" t="str">
        <f t="shared" si="0"/>
        <v>12.05±4.05</v>
      </c>
      <c r="J21" s="1" t="s">
        <v>6</v>
      </c>
      <c r="K21" s="2">
        <v>3.39</v>
      </c>
      <c r="L21" s="2">
        <v>3.4710000000000001</v>
      </c>
      <c r="M21" s="2">
        <v>4.9180000000000001</v>
      </c>
      <c r="N21" s="2">
        <v>3.42</v>
      </c>
      <c r="O21" s="1">
        <v>3.5569999999999999</v>
      </c>
      <c r="P21" s="2">
        <v>3.6219999999999999</v>
      </c>
      <c r="Q21" t="str">
        <f t="shared" si="1"/>
        <v>3.73±1.19</v>
      </c>
    </row>
    <row r="22" spans="1:17" x14ac:dyDescent="0.25">
      <c r="A22" s="1" t="s">
        <v>7</v>
      </c>
      <c r="B22" s="2">
        <v>10.157</v>
      </c>
      <c r="C22" s="2">
        <v>10.984</v>
      </c>
      <c r="D22" s="2">
        <v>10.843</v>
      </c>
      <c r="E22" s="2">
        <v>10.433999999999999</v>
      </c>
      <c r="F22" s="2">
        <v>11.645</v>
      </c>
      <c r="G22" s="2">
        <v>11.438000000000001</v>
      </c>
      <c r="H22" t="str">
        <f t="shared" si="0"/>
        <v>10.92±0.73</v>
      </c>
      <c r="J22" s="1" t="s">
        <v>7</v>
      </c>
      <c r="K22" s="2">
        <v>3.1659999999999999</v>
      </c>
      <c r="L22" s="2">
        <v>3.4060000000000001</v>
      </c>
      <c r="M22" s="2">
        <v>3.363</v>
      </c>
      <c r="N22" s="2">
        <v>3.2770000000000001</v>
      </c>
      <c r="O22" s="1">
        <v>3.625</v>
      </c>
      <c r="P22" s="2">
        <v>3.536</v>
      </c>
      <c r="Q22" t="str">
        <f t="shared" si="1"/>
        <v>3.40±0.23</v>
      </c>
    </row>
    <row r="23" spans="1:17" x14ac:dyDescent="0.25">
      <c r="A23" s="1" t="s">
        <v>8</v>
      </c>
      <c r="B23" s="4">
        <v>9.0399999999999991</v>
      </c>
      <c r="C23" s="4">
        <v>9.3000000000000007</v>
      </c>
      <c r="D23" s="4">
        <v>9.31</v>
      </c>
      <c r="E23" s="4">
        <v>8.5500000000000007</v>
      </c>
      <c r="F23" s="4">
        <v>8.74</v>
      </c>
      <c r="G23" s="4">
        <v>8.91</v>
      </c>
      <c r="H23" t="str">
        <f t="shared" si="0"/>
        <v>8.98±0.33</v>
      </c>
      <c r="I23" s="2"/>
      <c r="J23" s="1" t="s">
        <v>8</v>
      </c>
      <c r="K23" s="4">
        <v>2.79</v>
      </c>
      <c r="L23" s="4">
        <v>2.95</v>
      </c>
      <c r="M23" s="4">
        <v>2.99</v>
      </c>
      <c r="N23" s="4">
        <v>2.76</v>
      </c>
      <c r="O23" s="4">
        <v>2.85</v>
      </c>
      <c r="P23" s="4">
        <v>2.91</v>
      </c>
      <c r="Q23" t="str">
        <f t="shared" si="1"/>
        <v>2.88±0.12</v>
      </c>
    </row>
  </sheetData>
  <mergeCells count="4">
    <mergeCell ref="A1:G1"/>
    <mergeCell ref="J1:P1"/>
    <mergeCell ref="A13:G13"/>
    <mergeCell ref="J13:P1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zoomScale="130" zoomScaleNormal="130" workbookViewId="0">
      <selection activeCell="B27" sqref="B27"/>
    </sheetView>
  </sheetViews>
  <sheetFormatPr defaultColWidth="9" defaultRowHeight="14.4" x14ac:dyDescent="0.25"/>
  <cols>
    <col min="1" max="1" width="19.44140625" customWidth="1"/>
    <col min="8" max="8" width="15" customWidth="1"/>
    <col min="10" max="10" width="18.77734375" customWidth="1"/>
    <col min="17" max="17" width="14.5546875" customWidth="1"/>
  </cols>
  <sheetData>
    <row r="1" spans="1:17" x14ac:dyDescent="0.25">
      <c r="A1" s="5" t="s">
        <v>10</v>
      </c>
      <c r="B1" s="6"/>
      <c r="C1" s="6"/>
      <c r="D1" s="6"/>
      <c r="E1" s="6"/>
      <c r="F1" s="6"/>
      <c r="G1" s="6"/>
      <c r="J1" s="5" t="s">
        <v>9</v>
      </c>
      <c r="K1" s="6"/>
      <c r="L1" s="6"/>
      <c r="M1" s="6"/>
      <c r="N1" s="6"/>
      <c r="O1" s="6"/>
      <c r="P1" s="6"/>
    </row>
    <row r="2" spans="1:17" x14ac:dyDescent="0.25">
      <c r="A2" s="1" t="s">
        <v>13</v>
      </c>
      <c r="B2" s="2">
        <v>30</v>
      </c>
      <c r="C2" s="2">
        <v>60</v>
      </c>
      <c r="D2" s="2">
        <v>120</v>
      </c>
      <c r="E2" s="2">
        <v>240</v>
      </c>
      <c r="F2" s="2">
        <v>360</v>
      </c>
      <c r="G2" s="2">
        <v>480</v>
      </c>
      <c r="J2" s="1" t="s">
        <v>13</v>
      </c>
      <c r="K2" s="2">
        <v>30</v>
      </c>
      <c r="L2" s="2">
        <v>60</v>
      </c>
      <c r="M2" s="2">
        <v>120</v>
      </c>
      <c r="N2" s="2">
        <v>240</v>
      </c>
      <c r="O2" s="2">
        <v>360</v>
      </c>
      <c r="P2" s="2">
        <v>480</v>
      </c>
    </row>
    <row r="3" spans="1:17" x14ac:dyDescent="0.25">
      <c r="A3" s="1" t="s">
        <v>0</v>
      </c>
      <c r="B3" s="2">
        <v>47.872999999999998</v>
      </c>
      <c r="C3" s="2">
        <v>47.889000000000003</v>
      </c>
      <c r="D3" s="2">
        <v>47.942999999999998</v>
      </c>
      <c r="E3" s="2">
        <v>47.890999999999998</v>
      </c>
      <c r="F3" s="1">
        <v>47.851999999999997</v>
      </c>
      <c r="G3" s="2">
        <v>47.847999999999999</v>
      </c>
      <c r="H3" t="str">
        <f>TEXT(AVERAGE(B3:G3),"0.00")&amp;"±"&amp;TEXT((MAX(B3:G3)-AVERAGE(B3:G3)),"0.00")</f>
        <v>47.88±0.06</v>
      </c>
      <c r="J3" s="1" t="s">
        <v>0</v>
      </c>
      <c r="K3" s="2">
        <v>4.9539999999999997</v>
      </c>
      <c r="L3" s="2">
        <v>4.9550000000000001</v>
      </c>
      <c r="M3" s="2">
        <v>4.9580000000000002</v>
      </c>
      <c r="N3" s="2">
        <v>4.9550000000000001</v>
      </c>
      <c r="O3" s="2">
        <v>4.9530000000000003</v>
      </c>
      <c r="P3" s="2">
        <v>4.952</v>
      </c>
      <c r="Q3" t="str">
        <f>TEXT(AVERAGE(K3:P3),"0.00")&amp;"±"&amp;TEXT((MAX(K3:P3)-AVERAGE(K3:P3)),"0.00")</f>
        <v>4.95±0.00</v>
      </c>
    </row>
    <row r="4" spans="1:17" x14ac:dyDescent="0.25">
      <c r="A4" s="1" t="s">
        <v>1</v>
      </c>
      <c r="B4" s="2">
        <v>13.223000000000001</v>
      </c>
      <c r="C4" s="2">
        <v>12.911</v>
      </c>
      <c r="D4" s="2">
        <v>13.179</v>
      </c>
      <c r="E4" s="2">
        <v>13.493</v>
      </c>
      <c r="F4" s="2">
        <v>12.853</v>
      </c>
      <c r="G4" s="2">
        <v>13.432</v>
      </c>
      <c r="H4" t="str">
        <f t="shared" ref="H4:H23" si="0">TEXT(AVERAGE(B4:G4),"0.00")&amp;"±"&amp;TEXT((MAX(B4:G4)-AVERAGE(B4:G4)),"0.00")</f>
        <v>13.18±0.31</v>
      </c>
      <c r="J4" s="1" t="s">
        <v>1</v>
      </c>
      <c r="K4" s="2">
        <v>1.498</v>
      </c>
      <c r="L4" s="2">
        <v>1.46</v>
      </c>
      <c r="M4" s="2">
        <v>1.486</v>
      </c>
      <c r="N4" s="2">
        <v>1.524</v>
      </c>
      <c r="O4" s="2">
        <v>1.4530000000000001</v>
      </c>
      <c r="P4" s="2">
        <v>1.5069999999999999</v>
      </c>
      <c r="Q4" t="str">
        <f t="shared" ref="Q4:Q23" si="1">TEXT(AVERAGE(K4:P4),"0.00")&amp;"±"&amp;TEXT((MAX(K4:P4)-AVERAGE(K4:P4)),"0.00")</f>
        <v>1.49±0.04</v>
      </c>
    </row>
    <row r="5" spans="1:17" x14ac:dyDescent="0.25">
      <c r="A5" s="1" t="s">
        <v>2</v>
      </c>
      <c r="B5" s="2">
        <v>14.412000000000001</v>
      </c>
      <c r="C5" s="2">
        <v>15.148</v>
      </c>
      <c r="D5" s="2">
        <v>13.776999999999999</v>
      </c>
      <c r="E5" s="2">
        <v>14.491</v>
      </c>
      <c r="F5" s="2">
        <v>13.193</v>
      </c>
      <c r="G5" s="2">
        <v>12.692</v>
      </c>
      <c r="H5" t="str">
        <f t="shared" si="0"/>
        <v>13.95±1.20</v>
      </c>
      <c r="J5" s="1" t="s">
        <v>2</v>
      </c>
      <c r="K5" s="2">
        <v>1.6359999999999999</v>
      </c>
      <c r="L5" s="2">
        <v>1.6819999999999999</v>
      </c>
      <c r="M5" s="2">
        <v>1.5669999999999999</v>
      </c>
      <c r="N5" s="2">
        <v>1.613</v>
      </c>
      <c r="O5" s="2">
        <v>1.5209999999999999</v>
      </c>
      <c r="P5" s="2">
        <v>1.429</v>
      </c>
      <c r="Q5" t="str">
        <f t="shared" si="1"/>
        <v>1.57±0.11</v>
      </c>
    </row>
    <row r="6" spans="1:17" x14ac:dyDescent="0.25">
      <c r="A6" s="1" t="s">
        <v>3</v>
      </c>
      <c r="B6" s="3">
        <v>15.76</v>
      </c>
      <c r="C6" s="2">
        <v>12.821</v>
      </c>
      <c r="D6" s="2">
        <v>13.231999999999999</v>
      </c>
      <c r="E6" s="2">
        <v>11.792999999999999</v>
      </c>
      <c r="F6" s="2">
        <v>12.276999999999999</v>
      </c>
      <c r="G6" s="2">
        <v>12.276</v>
      </c>
      <c r="H6" t="str">
        <f t="shared" si="0"/>
        <v>13.03±2.73</v>
      </c>
      <c r="I6" s="2"/>
      <c r="J6" s="1" t="s">
        <v>3</v>
      </c>
      <c r="K6" s="3">
        <v>1.7969999999999999</v>
      </c>
      <c r="L6" s="2">
        <v>1.4630000000000001</v>
      </c>
      <c r="M6" s="2">
        <v>1.5289999999999999</v>
      </c>
      <c r="N6" s="2">
        <v>1.3420000000000001</v>
      </c>
      <c r="O6" s="1">
        <v>1.3640000000000001</v>
      </c>
      <c r="P6" s="2">
        <v>1.377</v>
      </c>
      <c r="Q6" t="str">
        <f t="shared" si="1"/>
        <v>1.48±0.32</v>
      </c>
    </row>
    <row r="7" spans="1:17" x14ac:dyDescent="0.25">
      <c r="A7" s="1" t="s">
        <v>4</v>
      </c>
      <c r="B7" s="2">
        <v>15.49</v>
      </c>
      <c r="C7" s="2">
        <v>14.144</v>
      </c>
      <c r="D7" s="2">
        <v>13.815</v>
      </c>
      <c r="E7" s="2">
        <v>13.254</v>
      </c>
      <c r="F7" s="2">
        <v>13.381</v>
      </c>
      <c r="G7" s="2">
        <v>13.118</v>
      </c>
      <c r="H7" t="str">
        <f t="shared" si="0"/>
        <v>13.87±1.62</v>
      </c>
      <c r="I7" s="2"/>
      <c r="J7" s="1" t="s">
        <v>4</v>
      </c>
      <c r="K7" s="2">
        <v>1.802</v>
      </c>
      <c r="L7" s="2">
        <v>1.633</v>
      </c>
      <c r="M7" s="2">
        <v>1.603</v>
      </c>
      <c r="N7" s="2">
        <v>1.5349999999999999</v>
      </c>
      <c r="O7" s="1">
        <v>1.538</v>
      </c>
      <c r="P7" s="2">
        <v>1.522</v>
      </c>
      <c r="Q7" t="str">
        <f t="shared" si="1"/>
        <v>1.61±0.20</v>
      </c>
    </row>
    <row r="8" spans="1:17" x14ac:dyDescent="0.25">
      <c r="A8" s="1" t="s">
        <v>5</v>
      </c>
      <c r="B8" s="2">
        <v>17.027000000000001</v>
      </c>
      <c r="C8" s="2">
        <v>14.207000000000001</v>
      </c>
      <c r="D8" s="2">
        <v>14.273999999999999</v>
      </c>
      <c r="E8" s="2">
        <v>14.028</v>
      </c>
      <c r="F8" s="2">
        <v>14.345000000000001</v>
      </c>
      <c r="G8" s="2">
        <v>14.026999999999999</v>
      </c>
      <c r="H8" t="str">
        <f t="shared" si="0"/>
        <v>14.65±2.38</v>
      </c>
      <c r="I8" s="2"/>
      <c r="J8" s="1" t="s">
        <v>5</v>
      </c>
      <c r="K8" s="2">
        <v>1.8049999999999999</v>
      </c>
      <c r="L8" s="2">
        <v>1.613</v>
      </c>
      <c r="M8" s="2">
        <v>1.6279999999999999</v>
      </c>
      <c r="N8" s="2">
        <v>1.597</v>
      </c>
      <c r="O8" s="1">
        <v>1.6220000000000001</v>
      </c>
      <c r="P8" s="2">
        <v>1.6020000000000001</v>
      </c>
      <c r="Q8" t="str">
        <f t="shared" si="1"/>
        <v>1.64±0.16</v>
      </c>
    </row>
    <row r="9" spans="1:17" x14ac:dyDescent="0.25">
      <c r="A9" s="1" t="s">
        <v>6</v>
      </c>
      <c r="B9" s="2">
        <v>15.488</v>
      </c>
      <c r="C9" s="2">
        <v>13.887</v>
      </c>
      <c r="D9" s="2">
        <v>14.073</v>
      </c>
      <c r="E9" s="2">
        <v>13.254</v>
      </c>
      <c r="F9" s="2">
        <v>13.483000000000001</v>
      </c>
      <c r="G9" s="2">
        <v>12.914</v>
      </c>
      <c r="H9" t="str">
        <f t="shared" si="0"/>
        <v>13.85±1.64</v>
      </c>
      <c r="I9" s="2"/>
      <c r="J9" s="1" t="s">
        <v>6</v>
      </c>
      <c r="K9" s="2">
        <v>1.714</v>
      </c>
      <c r="L9" s="2">
        <v>1.607</v>
      </c>
      <c r="M9" s="2">
        <v>1.621</v>
      </c>
      <c r="N9" s="2">
        <v>1.4910000000000001</v>
      </c>
      <c r="O9" s="1">
        <v>1.518</v>
      </c>
      <c r="P9" s="2">
        <v>1.468</v>
      </c>
      <c r="Q9" t="str">
        <f t="shared" si="1"/>
        <v>1.57±0.14</v>
      </c>
    </row>
    <row r="10" spans="1:17" x14ac:dyDescent="0.25">
      <c r="A10" s="1" t="s">
        <v>7</v>
      </c>
      <c r="B10" s="2">
        <v>13.762</v>
      </c>
      <c r="C10" s="2">
        <v>14.407</v>
      </c>
      <c r="D10" s="2">
        <v>13.122</v>
      </c>
      <c r="E10" s="2">
        <v>12.936</v>
      </c>
      <c r="F10" s="2">
        <v>13.057</v>
      </c>
      <c r="G10" s="2">
        <v>12.923999999999999</v>
      </c>
      <c r="H10" t="str">
        <f t="shared" si="0"/>
        <v>13.37±1.04</v>
      </c>
      <c r="I10" s="2"/>
      <c r="J10" s="1" t="s">
        <v>7</v>
      </c>
      <c r="K10" s="2">
        <v>1.571</v>
      </c>
      <c r="L10" s="2">
        <v>1.5740000000000001</v>
      </c>
      <c r="M10" s="2">
        <v>1.4610000000000001</v>
      </c>
      <c r="N10" s="2">
        <v>1.4430000000000001</v>
      </c>
      <c r="O10" s="1">
        <v>1.486</v>
      </c>
      <c r="P10" s="2">
        <v>1.4390000000000001</v>
      </c>
      <c r="Q10" t="str">
        <f t="shared" si="1"/>
        <v>1.50±0.08</v>
      </c>
    </row>
    <row r="11" spans="1:17" x14ac:dyDescent="0.25">
      <c r="A11" s="1" t="s">
        <v>8</v>
      </c>
      <c r="B11" s="4">
        <v>12.965</v>
      </c>
      <c r="C11" s="4">
        <v>12.284000000000001</v>
      </c>
      <c r="D11" s="4">
        <v>12.233000000000001</v>
      </c>
      <c r="E11" s="4">
        <v>11.948</v>
      </c>
      <c r="F11" s="4">
        <v>11.96</v>
      </c>
      <c r="G11" s="4">
        <v>12.053000000000001</v>
      </c>
      <c r="H11" t="str">
        <f t="shared" si="0"/>
        <v>12.24±0.72</v>
      </c>
      <c r="J11" s="1" t="s">
        <v>8</v>
      </c>
      <c r="K11" s="4">
        <v>1.4730000000000001</v>
      </c>
      <c r="L11" s="4">
        <v>1.3959999999999999</v>
      </c>
      <c r="M11" s="4">
        <v>1.3740000000000001</v>
      </c>
      <c r="N11" s="4">
        <v>1.3640000000000001</v>
      </c>
      <c r="O11" s="4">
        <v>1.3460000000000001</v>
      </c>
      <c r="P11" s="4">
        <v>1.3580000000000001</v>
      </c>
      <c r="Q11" t="str">
        <f t="shared" si="1"/>
        <v>1.39±0.09</v>
      </c>
    </row>
    <row r="12" spans="1:17" x14ac:dyDescent="0.25">
      <c r="A12" s="1"/>
      <c r="B12" s="2"/>
      <c r="C12" s="2"/>
      <c r="D12" s="2"/>
      <c r="E12" s="2"/>
      <c r="F12" s="2"/>
      <c r="G12" s="2"/>
      <c r="I12" s="2"/>
      <c r="J12" s="2"/>
      <c r="K12" s="2"/>
      <c r="L12" s="2"/>
      <c r="M12" s="2"/>
      <c r="N12" s="2"/>
      <c r="O12" s="1"/>
      <c r="P12" s="2"/>
    </row>
    <row r="13" spans="1:17" x14ac:dyDescent="0.25">
      <c r="A13" s="5" t="s">
        <v>12</v>
      </c>
      <c r="B13" s="5"/>
      <c r="C13" s="5"/>
      <c r="D13" s="5"/>
      <c r="E13" s="5"/>
      <c r="F13" s="5"/>
      <c r="G13" s="5"/>
      <c r="I13" s="2"/>
      <c r="J13" s="5" t="s">
        <v>11</v>
      </c>
      <c r="K13" s="5"/>
      <c r="L13" s="5"/>
      <c r="M13" s="5"/>
      <c r="N13" s="5"/>
      <c r="O13" s="5"/>
      <c r="P13" s="5"/>
    </row>
    <row r="14" spans="1:17" x14ac:dyDescent="0.25">
      <c r="A14" s="1" t="s">
        <v>13</v>
      </c>
      <c r="B14" s="2">
        <v>30</v>
      </c>
      <c r="C14" s="2">
        <v>60</v>
      </c>
      <c r="D14" s="2">
        <v>120</v>
      </c>
      <c r="E14" s="2">
        <v>240</v>
      </c>
      <c r="F14" s="2">
        <v>360</v>
      </c>
      <c r="G14" s="2">
        <v>480</v>
      </c>
      <c r="I14" s="2"/>
      <c r="J14" s="1" t="s">
        <v>13</v>
      </c>
      <c r="K14" s="2">
        <v>30</v>
      </c>
      <c r="L14" s="2">
        <v>60</v>
      </c>
      <c r="M14" s="2">
        <v>120</v>
      </c>
      <c r="N14" s="2">
        <v>240</v>
      </c>
      <c r="O14" s="1">
        <v>360</v>
      </c>
      <c r="P14" s="2">
        <v>480</v>
      </c>
    </row>
    <row r="15" spans="1:17" x14ac:dyDescent="0.25">
      <c r="A15" s="1" t="s">
        <v>0</v>
      </c>
      <c r="B15" s="2">
        <v>17.457999999999998</v>
      </c>
      <c r="C15" s="2">
        <v>17.602</v>
      </c>
      <c r="D15" s="2">
        <v>14.661</v>
      </c>
      <c r="E15" s="2">
        <v>16.962</v>
      </c>
      <c r="F15" s="2">
        <v>14.685</v>
      </c>
      <c r="G15" s="2">
        <v>15.952999999999999</v>
      </c>
      <c r="H15" t="str">
        <f t="shared" si="0"/>
        <v>16.22±1.38</v>
      </c>
      <c r="I15" s="2"/>
      <c r="J15" s="1" t="s">
        <v>0</v>
      </c>
      <c r="K15" s="2">
        <v>5.3410000000000002</v>
      </c>
      <c r="L15" s="2">
        <v>5.3739999999999997</v>
      </c>
      <c r="M15" s="2">
        <v>4.5830000000000002</v>
      </c>
      <c r="N15" s="2">
        <v>5.2080000000000002</v>
      </c>
      <c r="O15" s="2">
        <v>4.5880000000000001</v>
      </c>
      <c r="P15" s="2">
        <v>4.9400000000000004</v>
      </c>
      <c r="Q15" t="str">
        <f t="shared" si="1"/>
        <v>5.01±0.37</v>
      </c>
    </row>
    <row r="16" spans="1:17" x14ac:dyDescent="0.25">
      <c r="A16" s="1" t="s">
        <v>1</v>
      </c>
      <c r="B16" s="2">
        <v>11.295999999999999</v>
      </c>
      <c r="C16" s="2">
        <v>10.878</v>
      </c>
      <c r="D16" s="2">
        <v>11.976000000000001</v>
      </c>
      <c r="E16" s="2">
        <v>14.086</v>
      </c>
      <c r="F16" s="2">
        <v>13.983000000000001</v>
      </c>
      <c r="G16" s="2">
        <v>13.635</v>
      </c>
      <c r="H16" t="str">
        <f t="shared" si="0"/>
        <v>12.64±1.44</v>
      </c>
      <c r="I16" s="2"/>
      <c r="J16" s="1" t="s">
        <v>1</v>
      </c>
      <c r="K16" s="2">
        <v>3.5539999999999998</v>
      </c>
      <c r="L16" s="2">
        <v>3.464</v>
      </c>
      <c r="M16" s="2">
        <v>3.8050000000000002</v>
      </c>
      <c r="N16" s="2">
        <v>4.415</v>
      </c>
      <c r="O16" s="2">
        <v>4.3849999999999998</v>
      </c>
      <c r="P16" s="2">
        <v>4.282</v>
      </c>
      <c r="Q16" t="str">
        <f t="shared" si="1"/>
        <v>3.98±0.43</v>
      </c>
    </row>
    <row r="17" spans="1:17" x14ac:dyDescent="0.25">
      <c r="A17" s="1" t="s">
        <v>2</v>
      </c>
      <c r="B17" s="2">
        <v>14.768000000000001</v>
      </c>
      <c r="C17" s="2">
        <v>15.548</v>
      </c>
      <c r="D17" s="2">
        <v>11.742000000000001</v>
      </c>
      <c r="E17" s="2">
        <v>12.393000000000001</v>
      </c>
      <c r="F17" s="2">
        <v>10.753</v>
      </c>
      <c r="G17" s="2">
        <v>10.225</v>
      </c>
      <c r="H17" t="str">
        <f t="shared" si="0"/>
        <v>12.57±2.98</v>
      </c>
      <c r="I17" s="2"/>
      <c r="J17" s="1" t="s">
        <v>2</v>
      </c>
      <c r="K17" s="2">
        <v>4.9610000000000003</v>
      </c>
      <c r="L17" s="2">
        <v>5.2279999999999998</v>
      </c>
      <c r="M17" s="2">
        <v>3.5979999999999999</v>
      </c>
      <c r="N17" s="2">
        <v>3.8889999999999998</v>
      </c>
      <c r="O17" s="2">
        <v>3.4350000000000001</v>
      </c>
      <c r="P17" s="2">
        <v>3.2690000000000001</v>
      </c>
      <c r="Q17" t="str">
        <f t="shared" si="1"/>
        <v>4.06±1.16</v>
      </c>
    </row>
    <row r="18" spans="1:17" x14ac:dyDescent="0.25">
      <c r="A18" s="1" t="s">
        <v>3</v>
      </c>
      <c r="B18" s="2">
        <v>11.948</v>
      </c>
      <c r="C18" s="2">
        <v>13.14</v>
      </c>
      <c r="D18" s="2">
        <v>13.407999999999999</v>
      </c>
      <c r="E18" s="2">
        <v>13.545999999999999</v>
      </c>
      <c r="F18" s="2">
        <v>13.657999999999999</v>
      </c>
      <c r="G18" s="2">
        <v>14.234999999999999</v>
      </c>
      <c r="H18" t="str">
        <f t="shared" si="0"/>
        <v>13.32±0.91</v>
      </c>
      <c r="I18" s="2"/>
      <c r="J18" s="1" t="s">
        <v>3</v>
      </c>
      <c r="K18" s="2">
        <v>3.7519999999999998</v>
      </c>
      <c r="L18" s="2">
        <v>4.1589999999999998</v>
      </c>
      <c r="M18" s="2">
        <v>4.1879999999999997</v>
      </c>
      <c r="N18" s="2">
        <v>4.2839999999999998</v>
      </c>
      <c r="O18" s="1">
        <v>4.2169999999999996</v>
      </c>
      <c r="P18" s="2">
        <v>4.4279999999999999</v>
      </c>
      <c r="Q18" t="str">
        <f t="shared" si="1"/>
        <v>4.17±0.26</v>
      </c>
    </row>
    <row r="19" spans="1:17" x14ac:dyDescent="0.25">
      <c r="A19" s="1" t="s">
        <v>4</v>
      </c>
      <c r="B19" s="2">
        <v>12.02</v>
      </c>
      <c r="C19" s="2">
        <v>13.132999999999999</v>
      </c>
      <c r="D19" s="2">
        <v>13.534000000000001</v>
      </c>
      <c r="E19" s="2">
        <v>14.131</v>
      </c>
      <c r="F19" s="2">
        <v>14.333</v>
      </c>
      <c r="G19" s="2">
        <v>14.579000000000001</v>
      </c>
      <c r="H19" t="str">
        <f t="shared" si="0"/>
        <v>13.62±0.96</v>
      </c>
      <c r="I19" s="2"/>
      <c r="J19" s="1" t="s">
        <v>4</v>
      </c>
      <c r="K19" s="2">
        <v>3.7650000000000001</v>
      </c>
      <c r="L19" s="2">
        <v>4.1050000000000004</v>
      </c>
      <c r="M19" s="2">
        <v>4.2370000000000001</v>
      </c>
      <c r="N19" s="2">
        <v>4.3620000000000001</v>
      </c>
      <c r="O19" s="1">
        <v>4.4139999999999997</v>
      </c>
      <c r="P19" s="2">
        <v>4.4790000000000001</v>
      </c>
      <c r="Q19" t="str">
        <f t="shared" si="1"/>
        <v>4.23±0.25</v>
      </c>
    </row>
    <row r="20" spans="1:17" x14ac:dyDescent="0.25">
      <c r="A20" s="1" t="s">
        <v>5</v>
      </c>
      <c r="B20" s="2">
        <v>11.552</v>
      </c>
      <c r="C20" s="2">
        <v>11.933999999999999</v>
      </c>
      <c r="D20" s="2">
        <v>11.933999999999999</v>
      </c>
      <c r="E20" s="1">
        <v>10.815</v>
      </c>
      <c r="F20" s="2">
        <v>14.058</v>
      </c>
      <c r="G20" s="2">
        <v>16.815999999999999</v>
      </c>
      <c r="H20" t="str">
        <f t="shared" si="0"/>
        <v>12.85±3.96</v>
      </c>
      <c r="J20" s="1" t="s">
        <v>5</v>
      </c>
      <c r="K20" s="2">
        <v>3.6360000000000001</v>
      </c>
      <c r="L20" s="2">
        <v>3.722</v>
      </c>
      <c r="M20" s="2">
        <v>3.6779999999999999</v>
      </c>
      <c r="N20" s="2">
        <v>3.4049999999999998</v>
      </c>
      <c r="O20" s="1">
        <v>4.2409999999999997</v>
      </c>
      <c r="P20" s="2">
        <v>4.9980000000000002</v>
      </c>
      <c r="Q20" t="str">
        <f t="shared" si="1"/>
        <v>3.95±1.05</v>
      </c>
    </row>
    <row r="21" spans="1:17" x14ac:dyDescent="0.25">
      <c r="A21" s="1" t="s">
        <v>6</v>
      </c>
      <c r="B21" s="2">
        <v>11.987</v>
      </c>
      <c r="C21" s="2">
        <v>17.937999999999999</v>
      </c>
      <c r="D21" s="2">
        <v>12.824</v>
      </c>
      <c r="E21" s="2">
        <v>14.057</v>
      </c>
      <c r="F21" s="2">
        <v>13.878</v>
      </c>
      <c r="G21" s="2">
        <v>14.067</v>
      </c>
      <c r="H21" t="str">
        <f t="shared" si="0"/>
        <v>14.13±3.81</v>
      </c>
      <c r="J21" s="1" t="s">
        <v>6</v>
      </c>
      <c r="K21" s="2">
        <v>3.7829999999999999</v>
      </c>
      <c r="L21" s="2">
        <v>5.2240000000000002</v>
      </c>
      <c r="M21" s="2">
        <v>4.0570000000000004</v>
      </c>
      <c r="N21" s="2">
        <v>4.3319999999999999</v>
      </c>
      <c r="O21" s="1">
        <v>4.3440000000000003</v>
      </c>
      <c r="P21" s="2">
        <v>4.4269999999999996</v>
      </c>
      <c r="Q21" t="str">
        <f t="shared" si="1"/>
        <v>4.36±0.86</v>
      </c>
    </row>
    <row r="22" spans="1:17" x14ac:dyDescent="0.25">
      <c r="A22" s="1" t="s">
        <v>7</v>
      </c>
      <c r="B22" s="2">
        <v>12.582000000000001</v>
      </c>
      <c r="C22" s="2">
        <v>11.430999999999999</v>
      </c>
      <c r="D22" s="2">
        <v>12.317</v>
      </c>
      <c r="E22" s="2">
        <v>12.769</v>
      </c>
      <c r="F22" s="2">
        <v>12.88</v>
      </c>
      <c r="G22" s="2">
        <v>13.318</v>
      </c>
      <c r="H22" t="str">
        <f t="shared" si="0"/>
        <v>12.55±0.77</v>
      </c>
      <c r="J22" s="1" t="s">
        <v>7</v>
      </c>
      <c r="K22" s="2">
        <v>3.9119999999999999</v>
      </c>
      <c r="L22" s="2">
        <v>3.5419999999999998</v>
      </c>
      <c r="M22" s="2">
        <v>3.8359999999999999</v>
      </c>
      <c r="N22" s="2">
        <v>4</v>
      </c>
      <c r="O22" s="1">
        <v>4.0199999999999996</v>
      </c>
      <c r="P22" s="2">
        <v>4.18</v>
      </c>
      <c r="Q22" t="str">
        <f t="shared" si="1"/>
        <v>3.92±0.27</v>
      </c>
    </row>
    <row r="23" spans="1:17" x14ac:dyDescent="0.25">
      <c r="A23" s="1" t="s">
        <v>8</v>
      </c>
      <c r="B23" s="4">
        <v>10.788</v>
      </c>
      <c r="C23" s="4">
        <v>9.4039999999999999</v>
      </c>
      <c r="D23" s="4">
        <v>9.4459999999999997</v>
      </c>
      <c r="E23" s="4">
        <v>10.371</v>
      </c>
      <c r="F23" s="4">
        <v>9.9359999999999999</v>
      </c>
      <c r="G23" s="4">
        <v>9.9949999999999992</v>
      </c>
      <c r="H23" t="str">
        <f t="shared" si="0"/>
        <v>9.99±0.80</v>
      </c>
      <c r="I23" s="2"/>
      <c r="J23" s="1" t="s">
        <v>8</v>
      </c>
      <c r="K23" s="4">
        <v>3.4470000000000001</v>
      </c>
      <c r="L23" s="4">
        <v>2.9449999999999998</v>
      </c>
      <c r="M23" s="4">
        <v>3.0070000000000001</v>
      </c>
      <c r="N23" s="4">
        <v>3.351</v>
      </c>
      <c r="O23" s="4">
        <v>3.206</v>
      </c>
      <c r="P23" s="4">
        <v>3.2320000000000002</v>
      </c>
      <c r="Q23" t="str">
        <f t="shared" si="1"/>
        <v>3.20±0.25</v>
      </c>
    </row>
  </sheetData>
  <mergeCells count="4">
    <mergeCell ref="A1:G1"/>
    <mergeCell ref="J1:P1"/>
    <mergeCell ref="A13:G13"/>
    <mergeCell ref="J13:P1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3174A-4288-4196-8E6B-C235BC7D45FF}">
  <dimension ref="A1:Q23"/>
  <sheetViews>
    <sheetView zoomScale="130" zoomScaleNormal="130" workbookViewId="0">
      <selection activeCell="C28" sqref="C28"/>
    </sheetView>
  </sheetViews>
  <sheetFormatPr defaultRowHeight="14.4" x14ac:dyDescent="0.25"/>
  <cols>
    <col min="1" max="1" width="18.6640625" customWidth="1"/>
    <col min="8" max="8" width="14.5546875" customWidth="1"/>
    <col min="10" max="10" width="19.109375" customWidth="1"/>
    <col min="17" max="17" width="15.109375" customWidth="1"/>
  </cols>
  <sheetData>
    <row r="1" spans="1:17" x14ac:dyDescent="0.25">
      <c r="A1" s="5" t="s">
        <v>10</v>
      </c>
      <c r="B1" s="6"/>
      <c r="C1" s="6"/>
      <c r="D1" s="6"/>
      <c r="E1" s="6"/>
      <c r="F1" s="6"/>
      <c r="G1" s="6"/>
      <c r="J1" s="5" t="s">
        <v>9</v>
      </c>
      <c r="K1" s="6"/>
      <c r="L1" s="6"/>
      <c r="M1" s="6"/>
      <c r="N1" s="6"/>
      <c r="O1" s="6"/>
      <c r="P1" s="6"/>
    </row>
    <row r="2" spans="1:17" x14ac:dyDescent="0.25">
      <c r="A2" s="1" t="s">
        <v>13</v>
      </c>
      <c r="B2" s="2">
        <v>30</v>
      </c>
      <c r="C2" s="2">
        <v>60</v>
      </c>
      <c r="D2" s="2">
        <v>120</v>
      </c>
      <c r="E2" s="2">
        <v>240</v>
      </c>
      <c r="F2" s="2">
        <v>360</v>
      </c>
      <c r="G2" s="2">
        <v>480</v>
      </c>
      <c r="J2" s="1" t="s">
        <v>13</v>
      </c>
      <c r="K2" s="2">
        <v>30</v>
      </c>
      <c r="L2" s="2">
        <v>60</v>
      </c>
      <c r="M2" s="2">
        <v>120</v>
      </c>
      <c r="N2" s="2">
        <v>240</v>
      </c>
      <c r="O2" s="2">
        <v>360</v>
      </c>
      <c r="P2" s="2">
        <v>480</v>
      </c>
    </row>
    <row r="3" spans="1:17" x14ac:dyDescent="0.25">
      <c r="A3" s="1" t="s">
        <v>0</v>
      </c>
      <c r="B3" s="2">
        <v>47.872999999999998</v>
      </c>
      <c r="C3" s="2">
        <v>47.889000000000003</v>
      </c>
      <c r="D3" s="2">
        <v>47.942999999999998</v>
      </c>
      <c r="E3" s="2">
        <v>47.890999999999998</v>
      </c>
      <c r="F3" s="1">
        <v>47.851999999999997</v>
      </c>
      <c r="G3" s="2">
        <v>47.847999999999999</v>
      </c>
      <c r="H3" t="str">
        <f>TEXT(AVERAGE(B3:G3),"0.00")&amp;"±"&amp;TEXT((MAX(B3:G3)-AVERAGE(B3:G3)),"0.00")</f>
        <v>47.88±0.06</v>
      </c>
      <c r="J3" s="1" t="s">
        <v>0</v>
      </c>
      <c r="K3" s="2">
        <v>4.9539999999999997</v>
      </c>
      <c r="L3" s="2">
        <v>4.9550000000000001</v>
      </c>
      <c r="M3" s="2">
        <v>4.9580000000000002</v>
      </c>
      <c r="N3" s="2">
        <v>4.9550000000000001</v>
      </c>
      <c r="O3" s="2">
        <v>4.9530000000000003</v>
      </c>
      <c r="P3" s="2">
        <v>4.952</v>
      </c>
      <c r="Q3" t="str">
        <f>TEXT(AVERAGE(K3:P3),"0.00")&amp;"±"&amp;TEXT((MAX(K3:P3)-AVERAGE(K3:P3)),"0.00")</f>
        <v>4.95±0.00</v>
      </c>
    </row>
    <row r="4" spans="1:17" x14ac:dyDescent="0.25">
      <c r="A4" s="1" t="s">
        <v>1</v>
      </c>
      <c r="B4" s="2">
        <v>13.553000000000001</v>
      </c>
      <c r="C4" s="2">
        <v>13.064</v>
      </c>
      <c r="D4" s="2">
        <v>12.784000000000001</v>
      </c>
      <c r="E4" s="2">
        <v>13.256</v>
      </c>
      <c r="F4" s="2">
        <v>13.375999999999999</v>
      </c>
      <c r="G4" s="2">
        <v>13.737</v>
      </c>
      <c r="H4" t="str">
        <f t="shared" ref="H4:H23" si="0">TEXT(AVERAGE(B4:G4),"0.00")&amp;"±"&amp;TEXT((MAX(B4:G4)-AVERAGE(B4:G4)),"0.00")</f>
        <v>13.30±0.44</v>
      </c>
      <c r="J4" s="1" t="s">
        <v>1</v>
      </c>
      <c r="K4" s="2">
        <v>1.5289999999999999</v>
      </c>
      <c r="L4" s="2">
        <v>1.4730000000000001</v>
      </c>
      <c r="M4" s="2">
        <v>1.4410000000000001</v>
      </c>
      <c r="N4" s="2">
        <v>1.5029999999999999</v>
      </c>
      <c r="O4" s="2">
        <v>1.5029999999999999</v>
      </c>
      <c r="P4" s="2">
        <v>1.5369999999999999</v>
      </c>
      <c r="Q4" t="str">
        <f t="shared" ref="Q4:Q23" si="1">TEXT(AVERAGE(K4:P4),"0.00")&amp;"±"&amp;TEXT((MAX(K4:P4)-AVERAGE(K4:P4)),"0.00")</f>
        <v>1.50±0.04</v>
      </c>
    </row>
    <row r="5" spans="1:17" x14ac:dyDescent="0.25">
      <c r="A5" s="1" t="s">
        <v>2</v>
      </c>
      <c r="B5" s="2">
        <v>13.786</v>
      </c>
      <c r="C5" s="2">
        <v>15.016</v>
      </c>
      <c r="D5" s="2">
        <v>14.148</v>
      </c>
      <c r="E5" s="2">
        <v>15.742000000000001</v>
      </c>
      <c r="F5" s="2">
        <v>13.228999999999999</v>
      </c>
      <c r="G5" s="2">
        <v>12.683999999999999</v>
      </c>
      <c r="H5" t="str">
        <f t="shared" si="0"/>
        <v>14.10±1.64</v>
      </c>
      <c r="J5" s="1" t="s">
        <v>2</v>
      </c>
      <c r="K5" s="2">
        <v>1.5720000000000001</v>
      </c>
      <c r="L5" s="2">
        <v>1.67</v>
      </c>
      <c r="M5" s="2">
        <v>1.6060000000000001</v>
      </c>
      <c r="N5" s="2">
        <v>1.742</v>
      </c>
      <c r="O5" s="2">
        <v>1.5309999999999999</v>
      </c>
      <c r="P5" s="2">
        <v>1.4330000000000001</v>
      </c>
      <c r="Q5" t="str">
        <f t="shared" si="1"/>
        <v>1.59±0.15</v>
      </c>
    </row>
    <row r="6" spans="1:17" x14ac:dyDescent="0.25">
      <c r="A6" s="1" t="s">
        <v>3</v>
      </c>
      <c r="B6" s="3">
        <v>15.788</v>
      </c>
      <c r="C6" s="2">
        <v>12.829000000000001</v>
      </c>
      <c r="D6" s="2">
        <v>13.234</v>
      </c>
      <c r="E6" s="2">
        <v>11.795999999999999</v>
      </c>
      <c r="F6" s="2">
        <v>12.288</v>
      </c>
      <c r="G6" s="2">
        <v>12.273999999999999</v>
      </c>
      <c r="H6" t="str">
        <f t="shared" si="0"/>
        <v>13.03±2.75</v>
      </c>
      <c r="I6" s="2"/>
      <c r="J6" s="1" t="s">
        <v>3</v>
      </c>
      <c r="K6" s="3">
        <v>1.8009999999999999</v>
      </c>
      <c r="L6" s="2">
        <v>1.4650000000000001</v>
      </c>
      <c r="M6" s="2">
        <v>1.53</v>
      </c>
      <c r="N6" s="2">
        <v>1.3440000000000001</v>
      </c>
      <c r="O6" s="1">
        <v>1.365</v>
      </c>
      <c r="P6" s="2">
        <v>1.38</v>
      </c>
      <c r="Q6" t="str">
        <f t="shared" si="1"/>
        <v>1.48±0.32</v>
      </c>
    </row>
    <row r="7" spans="1:17" x14ac:dyDescent="0.25">
      <c r="A7" s="1" t="s">
        <v>4</v>
      </c>
      <c r="B7" s="2">
        <v>15.497</v>
      </c>
      <c r="C7" s="2">
        <v>14.163</v>
      </c>
      <c r="D7" s="2">
        <v>13.79</v>
      </c>
      <c r="E7" s="2">
        <v>13.247</v>
      </c>
      <c r="F7" s="2">
        <v>13.381</v>
      </c>
      <c r="G7" s="2">
        <v>13.102</v>
      </c>
      <c r="H7" t="str">
        <f t="shared" si="0"/>
        <v>13.86±1.63</v>
      </c>
      <c r="I7" s="2"/>
      <c r="J7" s="1" t="s">
        <v>4</v>
      </c>
      <c r="K7" s="2">
        <v>1.8029999999999999</v>
      </c>
      <c r="L7" s="2">
        <v>1.633</v>
      </c>
      <c r="M7" s="2">
        <v>1.597</v>
      </c>
      <c r="N7" s="2">
        <v>1.5349999999999999</v>
      </c>
      <c r="O7" s="1">
        <v>1.538</v>
      </c>
      <c r="P7" s="2">
        <v>1.524</v>
      </c>
      <c r="Q7" t="str">
        <f t="shared" si="1"/>
        <v>1.61±0.20</v>
      </c>
    </row>
    <row r="8" spans="1:17" x14ac:dyDescent="0.25">
      <c r="A8" s="1" t="s">
        <v>5</v>
      </c>
      <c r="B8" s="2">
        <v>17.065999999999999</v>
      </c>
      <c r="C8" s="2">
        <v>14.175000000000001</v>
      </c>
      <c r="D8" s="2">
        <v>14.257999999999999</v>
      </c>
      <c r="E8" s="2">
        <v>14.034000000000001</v>
      </c>
      <c r="F8" s="2">
        <v>14.343999999999999</v>
      </c>
      <c r="G8" s="2">
        <v>14.029</v>
      </c>
      <c r="H8" t="str">
        <f t="shared" si="0"/>
        <v>14.65±2.42</v>
      </c>
      <c r="I8" s="2"/>
      <c r="J8" s="1" t="s">
        <v>5</v>
      </c>
      <c r="K8" s="2">
        <v>1.8069999999999999</v>
      </c>
      <c r="L8" s="2">
        <v>1.611</v>
      </c>
      <c r="M8" s="2">
        <v>1.627</v>
      </c>
      <c r="N8" s="2">
        <v>1.5980000000000001</v>
      </c>
      <c r="O8" s="1">
        <v>1.6220000000000001</v>
      </c>
      <c r="P8" s="2">
        <v>1.603</v>
      </c>
      <c r="Q8" t="str">
        <f t="shared" si="1"/>
        <v>1.64±0.16</v>
      </c>
    </row>
    <row r="9" spans="1:17" x14ac:dyDescent="0.25">
      <c r="A9" s="1" t="s">
        <v>6</v>
      </c>
      <c r="B9" s="2">
        <v>15.5</v>
      </c>
      <c r="C9" s="2">
        <v>13.887</v>
      </c>
      <c r="D9" s="2">
        <v>14.048</v>
      </c>
      <c r="E9" s="2">
        <v>13.268000000000001</v>
      </c>
      <c r="F9" s="2">
        <v>13.483000000000001</v>
      </c>
      <c r="G9" s="2">
        <v>12.994999999999999</v>
      </c>
      <c r="H9" t="str">
        <f t="shared" si="0"/>
        <v>13.86±1.64</v>
      </c>
      <c r="I9" s="2"/>
      <c r="J9" s="1" t="s">
        <v>6</v>
      </c>
      <c r="K9" s="2">
        <v>1.714</v>
      </c>
      <c r="L9" s="2">
        <v>1.6080000000000001</v>
      </c>
      <c r="M9" s="2">
        <v>1.62</v>
      </c>
      <c r="N9" s="2">
        <v>1.496</v>
      </c>
      <c r="O9" s="1">
        <v>1.518</v>
      </c>
      <c r="P9" s="2">
        <v>1.482</v>
      </c>
      <c r="Q9" t="str">
        <f t="shared" si="1"/>
        <v>1.57±0.14</v>
      </c>
    </row>
    <row r="10" spans="1:17" x14ac:dyDescent="0.25">
      <c r="A10" s="1" t="s">
        <v>7</v>
      </c>
      <c r="B10" s="2">
        <v>13.731999999999999</v>
      </c>
      <c r="C10" s="2">
        <v>14.366</v>
      </c>
      <c r="D10" s="2">
        <v>13.128</v>
      </c>
      <c r="E10" s="2">
        <v>12.974</v>
      </c>
      <c r="F10" s="2">
        <v>13.057</v>
      </c>
      <c r="G10" s="2">
        <v>13.000999999999999</v>
      </c>
      <c r="H10" t="str">
        <f t="shared" si="0"/>
        <v>13.38±0.99</v>
      </c>
      <c r="I10" s="2"/>
      <c r="J10" s="1" t="s">
        <v>7</v>
      </c>
      <c r="K10" s="2">
        <v>1.57</v>
      </c>
      <c r="L10" s="2">
        <v>1.57</v>
      </c>
      <c r="M10" s="2">
        <v>1.462</v>
      </c>
      <c r="N10" s="2">
        <v>1.45</v>
      </c>
      <c r="O10" s="1">
        <v>1.486</v>
      </c>
      <c r="P10" s="2">
        <v>1.452</v>
      </c>
      <c r="Q10" t="str">
        <f t="shared" si="1"/>
        <v>1.50±0.07</v>
      </c>
    </row>
    <row r="11" spans="1:17" x14ac:dyDescent="0.25">
      <c r="A11" s="1" t="s">
        <v>8</v>
      </c>
      <c r="B11" s="4">
        <v>12.913</v>
      </c>
      <c r="C11" s="4">
        <v>12.25</v>
      </c>
      <c r="D11" s="4">
        <v>12.324999999999999</v>
      </c>
      <c r="E11" s="4">
        <v>11.946</v>
      </c>
      <c r="F11" s="4">
        <v>12.097</v>
      </c>
      <c r="G11" s="4">
        <v>12.097</v>
      </c>
      <c r="H11" t="str">
        <f t="shared" si="0"/>
        <v>12.27±0.64</v>
      </c>
      <c r="J11" s="1" t="s">
        <v>8</v>
      </c>
      <c r="K11" s="4">
        <v>1.4670000000000001</v>
      </c>
      <c r="L11" s="4">
        <v>1.379</v>
      </c>
      <c r="M11" s="4">
        <v>1.3859999999999999</v>
      </c>
      <c r="N11" s="4">
        <v>1.3620000000000001</v>
      </c>
      <c r="O11" s="4">
        <v>1.3640000000000001</v>
      </c>
      <c r="P11" s="4">
        <v>1.3680000000000001</v>
      </c>
      <c r="Q11" t="str">
        <f t="shared" si="1"/>
        <v>1.39±0.08</v>
      </c>
    </row>
    <row r="12" spans="1:17" x14ac:dyDescent="0.25">
      <c r="A12" s="1"/>
      <c r="B12" s="2"/>
      <c r="C12" s="2"/>
      <c r="D12" s="2"/>
      <c r="E12" s="2"/>
      <c r="F12" s="2"/>
      <c r="G12" s="2"/>
      <c r="I12" s="2"/>
      <c r="J12" s="2"/>
      <c r="K12" s="2"/>
      <c r="L12" s="2"/>
      <c r="M12" s="2"/>
      <c r="N12" s="2"/>
      <c r="O12" s="1"/>
      <c r="P12" s="2"/>
    </row>
    <row r="13" spans="1:17" x14ac:dyDescent="0.25">
      <c r="A13" s="5" t="s">
        <v>12</v>
      </c>
      <c r="B13" s="5"/>
      <c r="C13" s="5"/>
      <c r="D13" s="5"/>
      <c r="E13" s="5"/>
      <c r="F13" s="5"/>
      <c r="G13" s="5"/>
      <c r="I13" s="2"/>
      <c r="J13" s="5" t="s">
        <v>11</v>
      </c>
      <c r="K13" s="5"/>
      <c r="L13" s="5"/>
      <c r="M13" s="5"/>
      <c r="N13" s="5"/>
      <c r="O13" s="5"/>
      <c r="P13" s="5"/>
    </row>
    <row r="14" spans="1:17" x14ac:dyDescent="0.25">
      <c r="A14" s="1" t="s">
        <v>13</v>
      </c>
      <c r="B14" s="2">
        <v>30</v>
      </c>
      <c r="C14" s="2">
        <v>60</v>
      </c>
      <c r="D14" s="2">
        <v>120</v>
      </c>
      <c r="E14" s="2">
        <v>240</v>
      </c>
      <c r="F14" s="2">
        <v>360</v>
      </c>
      <c r="G14" s="2">
        <v>480</v>
      </c>
      <c r="I14" s="2"/>
      <c r="J14" s="1" t="s">
        <v>13</v>
      </c>
      <c r="K14" s="2">
        <v>30</v>
      </c>
      <c r="L14" s="2">
        <v>60</v>
      </c>
      <c r="M14" s="2">
        <v>120</v>
      </c>
      <c r="N14" s="2">
        <v>240</v>
      </c>
      <c r="O14" s="1">
        <v>360</v>
      </c>
      <c r="P14" s="2">
        <v>480</v>
      </c>
    </row>
    <row r="15" spans="1:17" x14ac:dyDescent="0.25">
      <c r="A15" s="1" t="s">
        <v>0</v>
      </c>
      <c r="B15" s="2">
        <v>17.457999999999998</v>
      </c>
      <c r="C15" s="2">
        <v>17.602</v>
      </c>
      <c r="D15" s="2">
        <v>14.661</v>
      </c>
      <c r="E15" s="2">
        <v>16.962</v>
      </c>
      <c r="F15" s="2">
        <v>14.685</v>
      </c>
      <c r="G15" s="2">
        <v>15.952999999999999</v>
      </c>
      <c r="H15" t="str">
        <f t="shared" si="0"/>
        <v>16.22±1.38</v>
      </c>
      <c r="I15" s="2"/>
      <c r="J15" s="1" t="s">
        <v>0</v>
      </c>
      <c r="K15" s="2">
        <v>5.3410000000000002</v>
      </c>
      <c r="L15" s="2">
        <v>5.3739999999999997</v>
      </c>
      <c r="M15" s="2">
        <v>4.5830000000000002</v>
      </c>
      <c r="N15" s="2">
        <v>5.2080000000000002</v>
      </c>
      <c r="O15" s="2">
        <v>4.5880000000000001</v>
      </c>
      <c r="P15" s="2">
        <v>4.9400000000000004</v>
      </c>
      <c r="Q15" t="str">
        <f t="shared" si="1"/>
        <v>5.01±0.37</v>
      </c>
    </row>
    <row r="16" spans="1:17" x14ac:dyDescent="0.25">
      <c r="A16" s="1" t="s">
        <v>1</v>
      </c>
      <c r="B16" s="2">
        <v>11.257999999999999</v>
      </c>
      <c r="C16" s="2">
        <v>10.122</v>
      </c>
      <c r="D16" s="2">
        <v>11.722</v>
      </c>
      <c r="E16" s="2">
        <v>14.952999999999999</v>
      </c>
      <c r="F16" s="2">
        <v>13.997999999999999</v>
      </c>
      <c r="G16" s="2">
        <v>13.138</v>
      </c>
      <c r="H16" t="str">
        <f t="shared" si="0"/>
        <v>12.53±2.42</v>
      </c>
      <c r="I16" s="2"/>
      <c r="J16" s="1" t="s">
        <v>1</v>
      </c>
      <c r="K16" s="2">
        <v>3.5289999999999999</v>
      </c>
      <c r="L16" s="2">
        <v>3.177</v>
      </c>
      <c r="M16" s="2">
        <v>3.6749999999999998</v>
      </c>
      <c r="N16" s="2">
        <v>4.6639999999999997</v>
      </c>
      <c r="O16" s="2">
        <v>4.3890000000000002</v>
      </c>
      <c r="P16" s="2">
        <v>4.1239999999999997</v>
      </c>
      <c r="Q16" t="str">
        <f t="shared" si="1"/>
        <v>3.93±0.74</v>
      </c>
    </row>
    <row r="17" spans="1:17" x14ac:dyDescent="0.25">
      <c r="A17" s="1" t="s">
        <v>2</v>
      </c>
      <c r="B17" s="2">
        <v>14.159000000000001</v>
      </c>
      <c r="C17" s="2">
        <v>13.962</v>
      </c>
      <c r="D17" s="2">
        <v>10.433999999999999</v>
      </c>
      <c r="E17" s="2">
        <v>12.234999999999999</v>
      </c>
      <c r="F17" s="2">
        <v>10.528</v>
      </c>
      <c r="G17" s="2">
        <v>10.824999999999999</v>
      </c>
      <c r="H17" t="str">
        <f t="shared" si="0"/>
        <v>12.02±2.14</v>
      </c>
      <c r="I17" s="2"/>
      <c r="J17" s="1" t="s">
        <v>2</v>
      </c>
      <c r="K17" s="2">
        <v>4.6360000000000001</v>
      </c>
      <c r="L17" s="2">
        <v>4.53</v>
      </c>
      <c r="M17" s="2">
        <v>3.2410000000000001</v>
      </c>
      <c r="N17" s="2">
        <v>3.8959999999999999</v>
      </c>
      <c r="O17" s="2">
        <v>3.3809999999999998</v>
      </c>
      <c r="P17" s="2">
        <v>3.4790000000000001</v>
      </c>
      <c r="Q17" t="str">
        <f t="shared" si="1"/>
        <v>3.86±0.78</v>
      </c>
    </row>
    <row r="18" spans="1:17" x14ac:dyDescent="0.25">
      <c r="A18" s="1" t="s">
        <v>3</v>
      </c>
      <c r="B18" s="2">
        <v>11.961</v>
      </c>
      <c r="C18" s="2">
        <v>13.132</v>
      </c>
      <c r="D18" s="2">
        <v>13.425000000000001</v>
      </c>
      <c r="E18" s="2">
        <v>13.542</v>
      </c>
      <c r="F18" s="2">
        <v>13.646000000000001</v>
      </c>
      <c r="G18" s="2">
        <v>14.238</v>
      </c>
      <c r="H18" t="str">
        <f t="shared" si="0"/>
        <v>13.32±0.91</v>
      </c>
      <c r="I18" s="2"/>
      <c r="J18" s="1" t="s">
        <v>3</v>
      </c>
      <c r="K18" s="2">
        <v>3.7559999999999998</v>
      </c>
      <c r="L18" s="2">
        <v>4.157</v>
      </c>
      <c r="M18" s="2">
        <v>4.194</v>
      </c>
      <c r="N18" s="2">
        <v>4.2839999999999998</v>
      </c>
      <c r="O18" s="1">
        <v>4.2140000000000004</v>
      </c>
      <c r="P18" s="2">
        <v>4.4290000000000003</v>
      </c>
      <c r="Q18" t="str">
        <f t="shared" si="1"/>
        <v>4.17±0.26</v>
      </c>
    </row>
    <row r="19" spans="1:17" x14ac:dyDescent="0.25">
      <c r="A19" s="1" t="s">
        <v>4</v>
      </c>
      <c r="B19" s="2">
        <v>11.791</v>
      </c>
      <c r="C19" s="2">
        <v>13.063000000000001</v>
      </c>
      <c r="D19" s="2">
        <v>13.272</v>
      </c>
      <c r="E19" s="2">
        <v>14.12</v>
      </c>
      <c r="F19" s="2">
        <v>14.428000000000001</v>
      </c>
      <c r="G19" s="2">
        <v>14.63</v>
      </c>
      <c r="H19" t="str">
        <f t="shared" si="0"/>
        <v>13.55±1.08</v>
      </c>
      <c r="I19" s="2"/>
      <c r="J19" s="1" t="s">
        <v>4</v>
      </c>
      <c r="K19" s="2">
        <v>3.6960000000000002</v>
      </c>
      <c r="L19" s="2">
        <v>4.0890000000000004</v>
      </c>
      <c r="M19" s="2">
        <v>4.16</v>
      </c>
      <c r="N19" s="2">
        <v>4.359</v>
      </c>
      <c r="O19" s="1">
        <v>4.4400000000000004</v>
      </c>
      <c r="P19" s="2">
        <v>4.4870000000000001</v>
      </c>
      <c r="Q19" t="str">
        <f t="shared" si="1"/>
        <v>4.21±0.28</v>
      </c>
    </row>
    <row r="20" spans="1:17" x14ac:dyDescent="0.25">
      <c r="A20" s="1" t="s">
        <v>5</v>
      </c>
      <c r="B20" s="2">
        <v>11.557</v>
      </c>
      <c r="C20" s="2">
        <v>12.048999999999999</v>
      </c>
      <c r="D20" s="2">
        <v>11.858000000000001</v>
      </c>
      <c r="E20" s="2">
        <v>10.805</v>
      </c>
      <c r="F20" s="2">
        <v>14.071</v>
      </c>
      <c r="G20" s="2">
        <v>16.876999999999999</v>
      </c>
      <c r="H20" t="str">
        <f t="shared" si="0"/>
        <v>12.87±4.01</v>
      </c>
      <c r="J20" s="1" t="s">
        <v>5</v>
      </c>
      <c r="K20" s="2">
        <v>3.6360000000000001</v>
      </c>
      <c r="L20" s="2">
        <v>3.76</v>
      </c>
      <c r="M20" s="2">
        <v>3.653</v>
      </c>
      <c r="N20" s="2">
        <v>3.399</v>
      </c>
      <c r="O20" s="1">
        <v>4.24</v>
      </c>
      <c r="P20" s="2">
        <v>5.0110000000000001</v>
      </c>
      <c r="Q20" t="str">
        <f t="shared" si="1"/>
        <v>3.95±1.06</v>
      </c>
    </row>
    <row r="21" spans="1:17" x14ac:dyDescent="0.25">
      <c r="A21" s="1" t="s">
        <v>6</v>
      </c>
      <c r="B21" s="2">
        <v>11.718999999999999</v>
      </c>
      <c r="C21" s="2">
        <v>17.934999999999999</v>
      </c>
      <c r="D21" s="2">
        <v>12.819000000000001</v>
      </c>
      <c r="E21" s="2">
        <v>14.055999999999999</v>
      </c>
      <c r="F21" s="2">
        <v>13.879</v>
      </c>
      <c r="G21" s="2">
        <v>14.063000000000001</v>
      </c>
      <c r="H21" t="str">
        <f t="shared" si="0"/>
        <v>14.08±3.86</v>
      </c>
      <c r="J21" s="1" t="s">
        <v>6</v>
      </c>
      <c r="K21" s="2">
        <v>3.6989999999999998</v>
      </c>
      <c r="L21" s="2">
        <v>5.2229999999999999</v>
      </c>
      <c r="M21" s="2">
        <v>4.0549999999999997</v>
      </c>
      <c r="N21" s="2">
        <v>4.3310000000000004</v>
      </c>
      <c r="O21" s="1">
        <v>4.3440000000000003</v>
      </c>
      <c r="P21" s="2">
        <v>4.4260000000000002</v>
      </c>
      <c r="Q21" t="str">
        <f t="shared" si="1"/>
        <v>4.35±0.88</v>
      </c>
    </row>
    <row r="22" spans="1:17" x14ac:dyDescent="0.25">
      <c r="A22" s="1" t="s">
        <v>7</v>
      </c>
      <c r="B22" s="2">
        <v>12.603999999999999</v>
      </c>
      <c r="C22" s="2">
        <v>11.451000000000001</v>
      </c>
      <c r="D22" s="2">
        <v>12.324</v>
      </c>
      <c r="E22" s="2">
        <v>12.766</v>
      </c>
      <c r="F22" s="2">
        <v>12.871</v>
      </c>
      <c r="G22" s="2">
        <v>13.308999999999999</v>
      </c>
      <c r="H22" t="str">
        <f t="shared" si="0"/>
        <v>12.55±0.75</v>
      </c>
      <c r="J22" s="1" t="s">
        <v>7</v>
      </c>
      <c r="K22" s="2">
        <v>3.9180000000000001</v>
      </c>
      <c r="L22" s="2">
        <v>3.5529999999999999</v>
      </c>
      <c r="M22" s="2">
        <v>3.84</v>
      </c>
      <c r="N22" s="2">
        <v>4</v>
      </c>
      <c r="O22" s="1">
        <v>4.0179999999999998</v>
      </c>
      <c r="P22" s="2">
        <v>4.1779999999999999</v>
      </c>
      <c r="Q22" t="str">
        <f t="shared" si="1"/>
        <v>3.92±0.26</v>
      </c>
    </row>
    <row r="23" spans="1:17" x14ac:dyDescent="0.25">
      <c r="A23" s="1" t="s">
        <v>8</v>
      </c>
      <c r="B23" s="4">
        <v>10.804</v>
      </c>
      <c r="C23" s="4">
        <v>9.4060000000000006</v>
      </c>
      <c r="D23" s="4">
        <v>9.4510000000000005</v>
      </c>
      <c r="E23" s="4">
        <v>10.37</v>
      </c>
      <c r="F23" s="4">
        <v>9.9309999999999992</v>
      </c>
      <c r="G23" s="4">
        <v>9.9930000000000003</v>
      </c>
      <c r="H23" t="str">
        <f t="shared" si="0"/>
        <v>9.99±0.81</v>
      </c>
      <c r="I23" s="2"/>
      <c r="J23" s="1" t="s">
        <v>8</v>
      </c>
      <c r="K23" s="4">
        <v>3.4529999999999998</v>
      </c>
      <c r="L23" s="4">
        <v>2.9470000000000001</v>
      </c>
      <c r="M23" s="4">
        <v>3.01</v>
      </c>
      <c r="N23" s="4">
        <v>3.351</v>
      </c>
      <c r="O23" s="4">
        <v>3.2040000000000002</v>
      </c>
      <c r="P23" s="4">
        <v>3.2320000000000002</v>
      </c>
      <c r="Q23" t="str">
        <f t="shared" si="1"/>
        <v>3.20±0.25</v>
      </c>
    </row>
  </sheetData>
  <mergeCells count="4">
    <mergeCell ref="A1:G1"/>
    <mergeCell ref="J1:P1"/>
    <mergeCell ref="A13:G13"/>
    <mergeCell ref="J13:P13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EB55-CDED-4896-B024-0CDD42647226}">
  <dimension ref="A1:Q23"/>
  <sheetViews>
    <sheetView zoomScale="130" zoomScaleNormal="130" workbookViewId="0">
      <selection activeCell="C29" sqref="C29"/>
    </sheetView>
  </sheetViews>
  <sheetFormatPr defaultRowHeight="14.4" x14ac:dyDescent="0.25"/>
  <cols>
    <col min="1" max="1" width="19.33203125" customWidth="1"/>
    <col min="8" max="8" width="14" customWidth="1"/>
    <col min="10" max="10" width="19.109375" customWidth="1"/>
    <col min="17" max="17" width="13.88671875" customWidth="1"/>
  </cols>
  <sheetData>
    <row r="1" spans="1:17" x14ac:dyDescent="0.25">
      <c r="A1" s="5" t="s">
        <v>10</v>
      </c>
      <c r="B1" s="6"/>
      <c r="C1" s="6"/>
      <c r="D1" s="6"/>
      <c r="E1" s="6"/>
      <c r="F1" s="6"/>
      <c r="G1" s="6"/>
      <c r="J1" s="5" t="s">
        <v>9</v>
      </c>
      <c r="K1" s="6"/>
      <c r="L1" s="6"/>
      <c r="M1" s="6"/>
      <c r="N1" s="6"/>
      <c r="O1" s="6"/>
      <c r="P1" s="6"/>
    </row>
    <row r="2" spans="1:17" x14ac:dyDescent="0.25">
      <c r="A2" s="1" t="s">
        <v>13</v>
      </c>
      <c r="B2" s="2">
        <v>30</v>
      </c>
      <c r="C2" s="2">
        <v>60</v>
      </c>
      <c r="D2" s="2">
        <v>120</v>
      </c>
      <c r="E2" s="2">
        <v>240</v>
      </c>
      <c r="F2" s="2">
        <v>360</v>
      </c>
      <c r="G2" s="2">
        <v>480</v>
      </c>
      <c r="J2" s="1" t="s">
        <v>13</v>
      </c>
      <c r="K2" s="2">
        <v>30</v>
      </c>
      <c r="L2" s="2">
        <v>60</v>
      </c>
      <c r="M2" s="2">
        <v>120</v>
      </c>
      <c r="N2" s="2">
        <v>240</v>
      </c>
      <c r="O2" s="2">
        <v>360</v>
      </c>
      <c r="P2" s="2">
        <v>480</v>
      </c>
    </row>
    <row r="3" spans="1:17" x14ac:dyDescent="0.25">
      <c r="A3" s="1" t="s">
        <v>0</v>
      </c>
      <c r="B3" s="2">
        <v>47.872999999999998</v>
      </c>
      <c r="C3" s="2">
        <v>47.889000000000003</v>
      </c>
      <c r="D3" s="2">
        <v>47.942999999999998</v>
      </c>
      <c r="E3" s="2">
        <v>47.890999999999998</v>
      </c>
      <c r="F3" s="1">
        <v>47.851999999999997</v>
      </c>
      <c r="G3" s="2">
        <v>47.847999999999999</v>
      </c>
      <c r="H3" t="str">
        <f>TEXT(AVERAGE(B3:G3),"0.00")&amp;"±"&amp;TEXT((MAX(B3:G3)-AVERAGE(B3:G3)),"0.00")</f>
        <v>47.88±0.06</v>
      </c>
      <c r="J3" s="1" t="s">
        <v>0</v>
      </c>
      <c r="K3" s="2">
        <v>4.9539999999999997</v>
      </c>
      <c r="L3" s="2">
        <v>4.9550000000000001</v>
      </c>
      <c r="M3" s="2">
        <v>4.9580000000000002</v>
      </c>
      <c r="N3" s="2">
        <v>4.9550000000000001</v>
      </c>
      <c r="O3" s="2">
        <v>4.9530000000000003</v>
      </c>
      <c r="P3" s="2">
        <v>4.952</v>
      </c>
      <c r="Q3" t="str">
        <f>TEXT(AVERAGE(K3:P3),"0.00")&amp;"±"&amp;TEXT((MAX(K3:P3)-AVERAGE(K3:P3)),"0.00")</f>
        <v>4.95±0.00</v>
      </c>
    </row>
    <row r="4" spans="1:17" x14ac:dyDescent="0.25">
      <c r="A4" s="1" t="s">
        <v>1</v>
      </c>
      <c r="B4" s="2">
        <v>13.395</v>
      </c>
      <c r="C4" s="2">
        <v>13.462999999999999</v>
      </c>
      <c r="D4" s="2">
        <v>13.164999999999999</v>
      </c>
      <c r="E4" s="2">
        <v>13.557</v>
      </c>
      <c r="F4" s="2">
        <v>13.278</v>
      </c>
      <c r="G4" s="2">
        <v>13.021000000000001</v>
      </c>
      <c r="H4" t="str">
        <f t="shared" ref="H4:H23" si="0">TEXT(AVERAGE(B4:G4),"0.00")&amp;"±"&amp;TEXT((MAX(B4:G4)-AVERAGE(B4:G4)),"0.00")</f>
        <v>13.31±0.24</v>
      </c>
      <c r="J4" s="1" t="s">
        <v>1</v>
      </c>
      <c r="K4" s="2">
        <v>1.5129999999999999</v>
      </c>
      <c r="L4" s="2">
        <v>1.5249999999999999</v>
      </c>
      <c r="M4" s="2">
        <v>1.484</v>
      </c>
      <c r="N4" s="2">
        <v>1.54</v>
      </c>
      <c r="O4" s="2">
        <v>1.4770000000000001</v>
      </c>
      <c r="P4" s="2">
        <v>1.4750000000000001</v>
      </c>
      <c r="Q4" t="str">
        <f t="shared" ref="Q4:Q23" si="1">TEXT(AVERAGE(K4:P4),"0.00")&amp;"±"&amp;TEXT((MAX(K4:P4)-AVERAGE(K4:P4)),"0.00")</f>
        <v>1.50±0.04</v>
      </c>
    </row>
    <row r="5" spans="1:17" x14ac:dyDescent="0.25">
      <c r="A5" s="1" t="s">
        <v>2</v>
      </c>
      <c r="B5" s="2">
        <v>13.452999999999999</v>
      </c>
      <c r="C5" s="2">
        <v>14.904</v>
      </c>
      <c r="D5" s="2">
        <v>14.052</v>
      </c>
      <c r="E5" s="2">
        <v>13.548999999999999</v>
      </c>
      <c r="F5" s="2">
        <v>13.276999999999999</v>
      </c>
      <c r="G5" s="2">
        <v>13.135</v>
      </c>
      <c r="H5" t="str">
        <f t="shared" si="0"/>
        <v>13.73±1.18</v>
      </c>
      <c r="J5" s="1" t="s">
        <v>2</v>
      </c>
      <c r="K5" s="2">
        <v>1.534</v>
      </c>
      <c r="L5" s="2">
        <v>1.641</v>
      </c>
      <c r="M5" s="2">
        <v>1.5840000000000001</v>
      </c>
      <c r="N5" s="2">
        <v>1.5</v>
      </c>
      <c r="O5" s="2">
        <v>1.5309999999999999</v>
      </c>
      <c r="P5" s="2">
        <v>1.484</v>
      </c>
      <c r="Q5" t="str">
        <f t="shared" si="1"/>
        <v>1.55±0.10</v>
      </c>
    </row>
    <row r="6" spans="1:17" x14ac:dyDescent="0.25">
      <c r="A6" s="1" t="s">
        <v>3</v>
      </c>
      <c r="B6" s="3">
        <v>15.792999999999999</v>
      </c>
      <c r="C6" s="2">
        <v>12.837999999999999</v>
      </c>
      <c r="D6" s="2">
        <v>13.244999999999999</v>
      </c>
      <c r="E6" s="2">
        <v>11.814</v>
      </c>
      <c r="F6" s="2">
        <v>12.295999999999999</v>
      </c>
      <c r="G6" s="2">
        <v>12.317</v>
      </c>
      <c r="H6" t="str">
        <f t="shared" si="0"/>
        <v>13.05±2.74</v>
      </c>
      <c r="I6" s="2"/>
      <c r="J6" s="1" t="s">
        <v>3</v>
      </c>
      <c r="K6" s="3">
        <v>1.802</v>
      </c>
      <c r="L6" s="2">
        <v>1.466</v>
      </c>
      <c r="M6" s="2">
        <v>1.532</v>
      </c>
      <c r="N6" s="2">
        <v>1.347</v>
      </c>
      <c r="O6" s="1">
        <v>1.3660000000000001</v>
      </c>
      <c r="P6" s="2">
        <v>1.383</v>
      </c>
      <c r="Q6" t="str">
        <f t="shared" si="1"/>
        <v>1.48±0.32</v>
      </c>
    </row>
    <row r="7" spans="1:17" x14ac:dyDescent="0.25">
      <c r="A7" s="1" t="s">
        <v>4</v>
      </c>
      <c r="B7" s="2">
        <v>15.442</v>
      </c>
      <c r="C7" s="2">
        <v>14.021000000000001</v>
      </c>
      <c r="D7" s="2">
        <v>13.536</v>
      </c>
      <c r="E7" s="2">
        <v>13.265000000000001</v>
      </c>
      <c r="F7" s="2">
        <v>13.381</v>
      </c>
      <c r="G7" s="2">
        <v>13.05</v>
      </c>
      <c r="H7" t="str">
        <f t="shared" si="0"/>
        <v>13.78±1.66</v>
      </c>
      <c r="I7" s="2"/>
      <c r="J7" s="1" t="s">
        <v>4</v>
      </c>
      <c r="K7" s="2">
        <v>1.7969999999999999</v>
      </c>
      <c r="L7" s="2">
        <v>1.613</v>
      </c>
      <c r="M7" s="2">
        <v>1.5680000000000001</v>
      </c>
      <c r="N7" s="2">
        <v>1.538</v>
      </c>
      <c r="O7" s="1">
        <v>1.538</v>
      </c>
      <c r="P7" s="2">
        <v>1.5129999999999999</v>
      </c>
      <c r="Q7" t="str">
        <f t="shared" si="1"/>
        <v>1.59±0.20</v>
      </c>
    </row>
    <row r="8" spans="1:17" x14ac:dyDescent="0.25">
      <c r="A8" s="1" t="s">
        <v>5</v>
      </c>
      <c r="B8" s="2">
        <v>17.024999999999999</v>
      </c>
      <c r="C8" s="2">
        <v>14.186</v>
      </c>
      <c r="D8" s="2">
        <v>14.263999999999999</v>
      </c>
      <c r="E8" s="2">
        <v>14.023</v>
      </c>
      <c r="F8" s="2">
        <v>14.343999999999999</v>
      </c>
      <c r="G8" s="2">
        <v>14.03</v>
      </c>
      <c r="H8" t="str">
        <f t="shared" si="0"/>
        <v>14.65±2.38</v>
      </c>
      <c r="I8" s="2"/>
      <c r="J8" s="1" t="s">
        <v>5</v>
      </c>
      <c r="K8" s="2">
        <v>1.804</v>
      </c>
      <c r="L8" s="2">
        <v>1.613</v>
      </c>
      <c r="M8" s="2">
        <v>1.6259999999999999</v>
      </c>
      <c r="N8" s="2">
        <v>1.5960000000000001</v>
      </c>
      <c r="O8" s="1">
        <v>1.6220000000000001</v>
      </c>
      <c r="P8" s="2">
        <v>1.603</v>
      </c>
      <c r="Q8" t="str">
        <f t="shared" si="1"/>
        <v>1.64±0.16</v>
      </c>
    </row>
    <row r="9" spans="1:17" x14ac:dyDescent="0.25">
      <c r="A9" s="1" t="s">
        <v>6</v>
      </c>
      <c r="B9" s="2">
        <v>15.502000000000001</v>
      </c>
      <c r="C9" s="2">
        <v>13.824999999999999</v>
      </c>
      <c r="D9" s="2">
        <v>14.007</v>
      </c>
      <c r="E9" s="2">
        <v>13.256</v>
      </c>
      <c r="F9" s="2">
        <v>13.483000000000001</v>
      </c>
      <c r="G9" s="2">
        <v>12.923</v>
      </c>
      <c r="H9" t="str">
        <f t="shared" si="0"/>
        <v>13.83±1.67</v>
      </c>
      <c r="I9" s="2"/>
      <c r="J9" s="1" t="s">
        <v>6</v>
      </c>
      <c r="K9" s="2">
        <v>1.714</v>
      </c>
      <c r="L9" s="2">
        <v>1.6040000000000001</v>
      </c>
      <c r="M9" s="2">
        <v>1.6160000000000001</v>
      </c>
      <c r="N9" s="2">
        <v>1.4930000000000001</v>
      </c>
      <c r="O9" s="1">
        <v>1.518</v>
      </c>
      <c r="P9" s="2">
        <v>1.4710000000000001</v>
      </c>
      <c r="Q9" t="str">
        <f t="shared" si="1"/>
        <v>1.57±0.14</v>
      </c>
    </row>
    <row r="10" spans="1:17" x14ac:dyDescent="0.25">
      <c r="A10" s="1" t="s">
        <v>7</v>
      </c>
      <c r="B10" s="2">
        <v>13.743</v>
      </c>
      <c r="C10" s="2">
        <v>14.401</v>
      </c>
      <c r="D10" s="2">
        <v>13.093</v>
      </c>
      <c r="E10" s="2">
        <v>12.997</v>
      </c>
      <c r="F10" s="2">
        <v>13.057</v>
      </c>
      <c r="G10" s="2">
        <v>12.875999999999999</v>
      </c>
      <c r="H10" t="str">
        <f t="shared" si="0"/>
        <v>13.36±1.04</v>
      </c>
      <c r="I10" s="2"/>
      <c r="J10" s="1" t="s">
        <v>7</v>
      </c>
      <c r="K10" s="2">
        <v>1.57</v>
      </c>
      <c r="L10" s="2">
        <v>1.573</v>
      </c>
      <c r="M10" s="2">
        <v>1.4570000000000001</v>
      </c>
      <c r="N10" s="2">
        <v>1.452</v>
      </c>
      <c r="O10" s="1">
        <v>1.486</v>
      </c>
      <c r="P10" s="2">
        <v>1.4370000000000001</v>
      </c>
      <c r="Q10" t="str">
        <f t="shared" si="1"/>
        <v>1.50±0.08</v>
      </c>
    </row>
    <row r="11" spans="1:17" x14ac:dyDescent="0.25">
      <c r="A11" s="1" t="s">
        <v>8</v>
      </c>
      <c r="B11" s="4">
        <v>13.074</v>
      </c>
      <c r="C11" s="4">
        <v>12.381</v>
      </c>
      <c r="D11" s="4">
        <v>12.449</v>
      </c>
      <c r="E11" s="4">
        <v>11.935</v>
      </c>
      <c r="F11" s="4">
        <v>11.906000000000001</v>
      </c>
      <c r="G11" s="4">
        <v>11.888999999999999</v>
      </c>
      <c r="H11" t="str">
        <f t="shared" si="0"/>
        <v>12.27±0.80</v>
      </c>
      <c r="J11" s="1" t="s">
        <v>8</v>
      </c>
      <c r="K11" s="4">
        <v>1.488</v>
      </c>
      <c r="L11" s="4">
        <v>1.4059999999999999</v>
      </c>
      <c r="M11" s="4">
        <v>1.409</v>
      </c>
      <c r="N11" s="4">
        <v>1.3580000000000001</v>
      </c>
      <c r="O11" s="4">
        <v>1.35</v>
      </c>
      <c r="P11" s="4">
        <v>1.347</v>
      </c>
      <c r="Q11" t="str">
        <f t="shared" si="1"/>
        <v>1.39±0.10</v>
      </c>
    </row>
    <row r="12" spans="1:17" x14ac:dyDescent="0.25">
      <c r="A12" s="1"/>
      <c r="B12" s="2"/>
      <c r="C12" s="2"/>
      <c r="D12" s="2"/>
      <c r="E12" s="2"/>
      <c r="F12" s="2"/>
      <c r="G12" s="2"/>
      <c r="I12" s="2"/>
      <c r="J12" s="2"/>
      <c r="K12" s="2"/>
      <c r="L12" s="2"/>
      <c r="M12" s="2"/>
      <c r="N12" s="2"/>
      <c r="O12" s="1"/>
      <c r="P12" s="2"/>
    </row>
    <row r="13" spans="1:17" x14ac:dyDescent="0.25">
      <c r="A13" s="5" t="s">
        <v>12</v>
      </c>
      <c r="B13" s="5"/>
      <c r="C13" s="5"/>
      <c r="D13" s="5"/>
      <c r="E13" s="5"/>
      <c r="F13" s="5"/>
      <c r="G13" s="5"/>
      <c r="I13" s="2"/>
      <c r="J13" s="5" t="s">
        <v>11</v>
      </c>
      <c r="K13" s="5"/>
      <c r="L13" s="5"/>
      <c r="M13" s="5"/>
      <c r="N13" s="5"/>
      <c r="O13" s="5"/>
      <c r="P13" s="5"/>
    </row>
    <row r="14" spans="1:17" x14ac:dyDescent="0.25">
      <c r="A14" s="1" t="s">
        <v>13</v>
      </c>
      <c r="B14" s="2">
        <v>30</v>
      </c>
      <c r="C14" s="2">
        <v>60</v>
      </c>
      <c r="D14" s="2">
        <v>120</v>
      </c>
      <c r="E14" s="2">
        <v>240</v>
      </c>
      <c r="F14" s="2">
        <v>360</v>
      </c>
      <c r="G14" s="2">
        <v>480</v>
      </c>
      <c r="I14" s="2"/>
      <c r="J14" s="1" t="s">
        <v>13</v>
      </c>
      <c r="K14" s="2">
        <v>30</v>
      </c>
      <c r="L14" s="2">
        <v>60</v>
      </c>
      <c r="M14" s="2">
        <v>120</v>
      </c>
      <c r="N14" s="2">
        <v>240</v>
      </c>
      <c r="O14" s="1">
        <v>360</v>
      </c>
      <c r="P14" s="2">
        <v>480</v>
      </c>
    </row>
    <row r="15" spans="1:17" x14ac:dyDescent="0.25">
      <c r="A15" s="1" t="s">
        <v>0</v>
      </c>
      <c r="B15" s="2">
        <v>17.457999999999998</v>
      </c>
      <c r="C15" s="2">
        <v>17.602</v>
      </c>
      <c r="D15" s="2">
        <v>14.661</v>
      </c>
      <c r="E15" s="2">
        <v>16.962</v>
      </c>
      <c r="F15" s="2">
        <v>14.685</v>
      </c>
      <c r="G15" s="2">
        <v>15.952999999999999</v>
      </c>
      <c r="H15" t="str">
        <f t="shared" si="0"/>
        <v>16.22±1.38</v>
      </c>
      <c r="I15" s="2"/>
      <c r="J15" s="1" t="s">
        <v>0</v>
      </c>
      <c r="K15" s="2">
        <v>5.3410000000000002</v>
      </c>
      <c r="L15" s="2">
        <v>5.3739999999999997</v>
      </c>
      <c r="M15" s="2">
        <v>4.5830000000000002</v>
      </c>
      <c r="N15" s="2">
        <v>5.2080000000000002</v>
      </c>
      <c r="O15" s="2">
        <v>4.5880000000000001</v>
      </c>
      <c r="P15" s="2">
        <v>4.9400000000000004</v>
      </c>
      <c r="Q15" t="str">
        <f t="shared" si="1"/>
        <v>5.01±0.37</v>
      </c>
    </row>
    <row r="16" spans="1:17" x14ac:dyDescent="0.25">
      <c r="A16" s="1" t="s">
        <v>1</v>
      </c>
      <c r="B16" s="2">
        <v>10.988</v>
      </c>
      <c r="C16" s="2">
        <v>10.765000000000001</v>
      </c>
      <c r="D16" s="2">
        <v>11.500999999999999</v>
      </c>
      <c r="E16" s="2">
        <v>13.747</v>
      </c>
      <c r="F16" s="2">
        <v>13.894</v>
      </c>
      <c r="G16" s="2">
        <v>14.683999999999999</v>
      </c>
      <c r="H16" t="str">
        <f t="shared" si="0"/>
        <v>12.60±2.09</v>
      </c>
      <c r="I16" s="2"/>
      <c r="J16" s="1" t="s">
        <v>1</v>
      </c>
      <c r="K16" s="2">
        <v>3.4169999999999998</v>
      </c>
      <c r="L16" s="2">
        <v>3.37</v>
      </c>
      <c r="M16" s="2">
        <v>3.6040000000000001</v>
      </c>
      <c r="N16" s="2">
        <v>4.3150000000000004</v>
      </c>
      <c r="O16" s="2">
        <v>4.359</v>
      </c>
      <c r="P16" s="2">
        <v>4.5880000000000001</v>
      </c>
      <c r="Q16" t="str">
        <f t="shared" si="1"/>
        <v>3.94±0.65</v>
      </c>
    </row>
    <row r="17" spans="1:17" x14ac:dyDescent="0.25">
      <c r="A17" s="1" t="s">
        <v>2</v>
      </c>
      <c r="B17" s="2">
        <v>11.811</v>
      </c>
      <c r="C17" s="2">
        <v>10.836</v>
      </c>
      <c r="D17" s="2">
        <v>11.157999999999999</v>
      </c>
      <c r="E17" s="2">
        <v>11.792999999999999</v>
      </c>
      <c r="F17" s="2">
        <v>10.177</v>
      </c>
      <c r="G17" s="2">
        <v>10.992000000000001</v>
      </c>
      <c r="H17" t="str">
        <f t="shared" si="0"/>
        <v>11.13±0.68</v>
      </c>
      <c r="I17" s="2"/>
      <c r="J17" s="1" t="s">
        <v>2</v>
      </c>
      <c r="K17" s="2">
        <v>3.8069999999999999</v>
      </c>
      <c r="L17" s="2">
        <v>3.35</v>
      </c>
      <c r="M17" s="2">
        <v>3.4390000000000001</v>
      </c>
      <c r="N17" s="2">
        <v>3.762</v>
      </c>
      <c r="O17" s="2">
        <v>3.2810000000000001</v>
      </c>
      <c r="P17" s="2">
        <v>3.5150000000000001</v>
      </c>
      <c r="Q17" t="str">
        <f t="shared" si="1"/>
        <v>3.53±0.28</v>
      </c>
    </row>
    <row r="18" spans="1:17" x14ac:dyDescent="0.25">
      <c r="A18" s="1" t="s">
        <v>3</v>
      </c>
      <c r="B18" s="2">
        <v>11.962</v>
      </c>
      <c r="C18" s="2">
        <v>13.132999999999999</v>
      </c>
      <c r="D18" s="2">
        <v>13.407</v>
      </c>
      <c r="E18" s="2">
        <v>13.538</v>
      </c>
      <c r="F18" s="2">
        <v>13.64</v>
      </c>
      <c r="G18" s="2">
        <v>14.231</v>
      </c>
      <c r="H18" t="str">
        <f t="shared" si="0"/>
        <v>13.32±0.91</v>
      </c>
      <c r="I18" s="2"/>
      <c r="J18" s="1" t="s">
        <v>3</v>
      </c>
      <c r="K18" s="2">
        <v>3.7559999999999998</v>
      </c>
      <c r="L18" s="2">
        <v>4.1559999999999997</v>
      </c>
      <c r="M18" s="2">
        <v>4.1890000000000001</v>
      </c>
      <c r="N18" s="2">
        <v>4.282</v>
      </c>
      <c r="O18" s="1">
        <v>4.2140000000000004</v>
      </c>
      <c r="P18" s="2">
        <v>4.4269999999999996</v>
      </c>
      <c r="Q18" t="str">
        <f t="shared" si="1"/>
        <v>4.17±0.26</v>
      </c>
    </row>
    <row r="19" spans="1:17" x14ac:dyDescent="0.25">
      <c r="A19" s="1" t="s">
        <v>4</v>
      </c>
      <c r="B19" s="2">
        <v>12.077</v>
      </c>
      <c r="C19" s="2">
        <v>12.916</v>
      </c>
      <c r="D19" s="2">
        <v>13.231999999999999</v>
      </c>
      <c r="E19" s="2">
        <v>14.058</v>
      </c>
      <c r="F19" s="2">
        <v>14.423</v>
      </c>
      <c r="G19" s="2">
        <v>14.622999999999999</v>
      </c>
      <c r="H19" t="str">
        <f t="shared" si="0"/>
        <v>13.55±1.07</v>
      </c>
      <c r="I19" s="2"/>
      <c r="J19" s="1" t="s">
        <v>4</v>
      </c>
      <c r="K19" s="2">
        <v>3.7869999999999999</v>
      </c>
      <c r="L19" s="2">
        <v>4.0389999999999997</v>
      </c>
      <c r="M19" s="2">
        <v>4.1509999999999998</v>
      </c>
      <c r="N19" s="2">
        <v>4.34</v>
      </c>
      <c r="O19" s="1">
        <v>4.4290000000000003</v>
      </c>
      <c r="P19" s="2">
        <v>4.4870000000000001</v>
      </c>
      <c r="Q19" t="str">
        <f t="shared" si="1"/>
        <v>4.21±0.28</v>
      </c>
    </row>
    <row r="20" spans="1:17" x14ac:dyDescent="0.25">
      <c r="A20" s="1" t="s">
        <v>5</v>
      </c>
      <c r="B20" s="2">
        <v>11.544</v>
      </c>
      <c r="C20" s="2">
        <v>11.872999999999999</v>
      </c>
      <c r="D20" s="2">
        <v>11.817</v>
      </c>
      <c r="E20" s="2">
        <v>10.832000000000001</v>
      </c>
      <c r="F20" s="2">
        <v>14.122999999999999</v>
      </c>
      <c r="G20" s="2">
        <v>16.881</v>
      </c>
      <c r="H20" t="str">
        <f t="shared" si="0"/>
        <v>12.85±4.04</v>
      </c>
      <c r="J20" s="1" t="s">
        <v>5</v>
      </c>
      <c r="K20" s="2">
        <v>3.633</v>
      </c>
      <c r="L20" s="2">
        <v>3.6989999999999998</v>
      </c>
      <c r="M20" s="2">
        <v>3.6419999999999999</v>
      </c>
      <c r="N20" s="2">
        <v>3.41</v>
      </c>
      <c r="O20" s="1">
        <v>4.2539999999999996</v>
      </c>
      <c r="P20" s="2">
        <v>5.0090000000000003</v>
      </c>
      <c r="Q20" t="str">
        <f t="shared" si="1"/>
        <v>3.94±1.07</v>
      </c>
    </row>
    <row r="21" spans="1:17" x14ac:dyDescent="0.25">
      <c r="A21" s="1" t="s">
        <v>6</v>
      </c>
      <c r="B21" s="2">
        <v>12.045</v>
      </c>
      <c r="C21" s="2">
        <v>17.972999999999999</v>
      </c>
      <c r="D21" s="2">
        <v>12.794</v>
      </c>
      <c r="E21" s="2">
        <v>14.055</v>
      </c>
      <c r="F21" s="2">
        <v>13.882</v>
      </c>
      <c r="G21" s="2">
        <v>14.071999999999999</v>
      </c>
      <c r="H21" t="str">
        <f t="shared" si="0"/>
        <v>14.14±3.84</v>
      </c>
      <c r="J21" s="1" t="s">
        <v>6</v>
      </c>
      <c r="K21" s="2">
        <v>3.8029999999999999</v>
      </c>
      <c r="L21" s="2">
        <v>5.2309999999999999</v>
      </c>
      <c r="M21" s="2">
        <v>4.0490000000000004</v>
      </c>
      <c r="N21" s="2">
        <v>4.3310000000000004</v>
      </c>
      <c r="O21" s="1">
        <v>4.3449999999999998</v>
      </c>
      <c r="P21" s="2">
        <v>4.4279999999999999</v>
      </c>
      <c r="Q21" t="str">
        <f t="shared" si="1"/>
        <v>4.36±0.87</v>
      </c>
    </row>
    <row r="22" spans="1:17" x14ac:dyDescent="0.25">
      <c r="A22" s="1" t="s">
        <v>7</v>
      </c>
      <c r="B22" s="2">
        <v>12.534000000000001</v>
      </c>
      <c r="C22" s="2">
        <v>11.488</v>
      </c>
      <c r="D22" s="2">
        <v>12.308</v>
      </c>
      <c r="E22" s="2">
        <v>12.773999999999999</v>
      </c>
      <c r="F22" s="2">
        <v>12.877000000000001</v>
      </c>
      <c r="G22" s="2">
        <v>13.307</v>
      </c>
      <c r="H22" t="str">
        <f t="shared" si="0"/>
        <v>12.55±0.76</v>
      </c>
      <c r="J22" s="1" t="s">
        <v>7</v>
      </c>
      <c r="K22" s="2">
        <v>3.9</v>
      </c>
      <c r="L22" s="2">
        <v>3.556</v>
      </c>
      <c r="M22" s="2">
        <v>3.8340000000000001</v>
      </c>
      <c r="N22" s="2">
        <v>4.0010000000000003</v>
      </c>
      <c r="O22" s="1">
        <v>4.0179999999999998</v>
      </c>
      <c r="P22" s="2">
        <v>4.1760000000000002</v>
      </c>
      <c r="Q22" t="str">
        <f t="shared" si="1"/>
        <v>3.91±0.26</v>
      </c>
    </row>
    <row r="23" spans="1:17" x14ac:dyDescent="0.25">
      <c r="A23" s="1" t="s">
        <v>8</v>
      </c>
      <c r="B23" s="4">
        <v>10.811999999999999</v>
      </c>
      <c r="C23" s="4">
        <v>9.4</v>
      </c>
      <c r="D23" s="4">
        <v>9.4339999999999993</v>
      </c>
      <c r="E23" s="4">
        <v>10.358000000000001</v>
      </c>
      <c r="F23" s="4">
        <v>9.9320000000000004</v>
      </c>
      <c r="G23" s="4">
        <v>9.9789999999999992</v>
      </c>
      <c r="H23" t="str">
        <f t="shared" si="0"/>
        <v>9.99±0.83</v>
      </c>
      <c r="I23" s="2"/>
      <c r="J23" s="1" t="s">
        <v>8</v>
      </c>
      <c r="K23" s="4">
        <v>3.4550000000000001</v>
      </c>
      <c r="L23" s="4">
        <v>2.944</v>
      </c>
      <c r="M23" s="4">
        <v>3.0019999999999998</v>
      </c>
      <c r="N23" s="4">
        <v>3.347</v>
      </c>
      <c r="O23" s="4">
        <v>3.2029999999999998</v>
      </c>
      <c r="P23" s="4">
        <v>3.226</v>
      </c>
      <c r="Q23" t="str">
        <f t="shared" si="1"/>
        <v>3.20±0.26</v>
      </c>
    </row>
  </sheetData>
  <mergeCells count="4">
    <mergeCell ref="A1:G1"/>
    <mergeCell ref="J1:P1"/>
    <mergeCell ref="A13:G13"/>
    <mergeCell ref="J13:P13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694F-474C-46A6-A9E9-BED21348B95E}">
  <dimension ref="A1:Q23"/>
  <sheetViews>
    <sheetView zoomScale="130" zoomScaleNormal="130" workbookViewId="0">
      <selection activeCell="C26" sqref="C26"/>
    </sheetView>
  </sheetViews>
  <sheetFormatPr defaultRowHeight="14.4" x14ac:dyDescent="0.25"/>
  <cols>
    <col min="1" max="1" width="19.109375" customWidth="1"/>
    <col min="8" max="8" width="13.88671875" customWidth="1"/>
    <col min="10" max="10" width="17.88671875" customWidth="1"/>
    <col min="17" max="17" width="14.21875" customWidth="1"/>
  </cols>
  <sheetData>
    <row r="1" spans="1:17" x14ac:dyDescent="0.25">
      <c r="A1" s="5" t="s">
        <v>10</v>
      </c>
      <c r="B1" s="6"/>
      <c r="C1" s="6"/>
      <c r="D1" s="6"/>
      <c r="E1" s="6"/>
      <c r="F1" s="6"/>
      <c r="G1" s="6"/>
      <c r="J1" s="5" t="s">
        <v>9</v>
      </c>
      <c r="K1" s="6"/>
      <c r="L1" s="6"/>
      <c r="M1" s="6"/>
      <c r="N1" s="6"/>
      <c r="O1" s="6"/>
      <c r="P1" s="6"/>
    </row>
    <row r="2" spans="1:17" x14ac:dyDescent="0.25">
      <c r="A2" s="1" t="s">
        <v>13</v>
      </c>
      <c r="B2" s="2">
        <v>30</v>
      </c>
      <c r="C2" s="2">
        <v>60</v>
      </c>
      <c r="D2" s="2">
        <v>120</v>
      </c>
      <c r="E2" s="2">
        <v>240</v>
      </c>
      <c r="F2" s="2">
        <v>360</v>
      </c>
      <c r="G2" s="2">
        <v>480</v>
      </c>
      <c r="J2" s="1" t="s">
        <v>13</v>
      </c>
      <c r="K2" s="2">
        <v>30</v>
      </c>
      <c r="L2" s="2">
        <v>60</v>
      </c>
      <c r="M2" s="2">
        <v>120</v>
      </c>
      <c r="N2" s="2">
        <v>240</v>
      </c>
      <c r="O2" s="2">
        <v>360</v>
      </c>
      <c r="P2" s="2">
        <v>480</v>
      </c>
    </row>
    <row r="3" spans="1:17" x14ac:dyDescent="0.25">
      <c r="A3" s="1" t="s">
        <v>0</v>
      </c>
      <c r="B3" s="2">
        <v>47.872999999999998</v>
      </c>
      <c r="C3" s="2">
        <v>47.889000000000003</v>
      </c>
      <c r="D3" s="2">
        <v>47.942999999999998</v>
      </c>
      <c r="E3" s="2">
        <v>47.890999999999998</v>
      </c>
      <c r="F3" s="1">
        <v>47.851999999999997</v>
      </c>
      <c r="G3" s="2">
        <v>47.847999999999999</v>
      </c>
      <c r="H3" t="str">
        <f>TEXT(AVERAGE(B3:G3),"0.00")&amp;"±"&amp;TEXT((MAX(B3:G3)-AVERAGE(B3:G3)),"0.00")</f>
        <v>47.88±0.06</v>
      </c>
      <c r="J3" s="1" t="s">
        <v>0</v>
      </c>
      <c r="K3" s="2">
        <v>4.9539999999999997</v>
      </c>
      <c r="L3" s="2">
        <v>4.9550000000000001</v>
      </c>
      <c r="M3" s="2">
        <v>4.9580000000000002</v>
      </c>
      <c r="N3" s="2">
        <v>4.9550000000000001</v>
      </c>
      <c r="O3" s="2">
        <v>4.9530000000000003</v>
      </c>
      <c r="P3" s="2">
        <v>4.952</v>
      </c>
      <c r="Q3" t="str">
        <f>TEXT(AVERAGE(K3:P3),"0.00")&amp;"±"&amp;TEXT((MAX(K3:P3)-AVERAGE(K3:P3)),"0.00")</f>
        <v>4.95±0.00</v>
      </c>
    </row>
    <row r="4" spans="1:17" x14ac:dyDescent="0.25">
      <c r="A4" s="1" t="s">
        <v>1</v>
      </c>
      <c r="B4" s="2">
        <v>13.603999999999999</v>
      </c>
      <c r="C4" s="2">
        <v>13.037000000000001</v>
      </c>
      <c r="D4" s="2">
        <v>13.125</v>
      </c>
      <c r="E4" s="2">
        <v>13.488</v>
      </c>
      <c r="F4" s="2">
        <v>13.259</v>
      </c>
      <c r="G4" s="2">
        <v>12.669</v>
      </c>
      <c r="H4" t="str">
        <f t="shared" ref="H4:H23" si="0">TEXT(AVERAGE(B4:G4),"0.00")&amp;"±"&amp;TEXT((MAX(B4:G4)-AVERAGE(B4:G4)),"0.00")</f>
        <v>13.20±0.41</v>
      </c>
      <c r="J4" s="1" t="s">
        <v>1</v>
      </c>
      <c r="K4" s="2">
        <v>1.54</v>
      </c>
      <c r="L4" s="2">
        <v>1.456</v>
      </c>
      <c r="M4" s="2">
        <v>1.462</v>
      </c>
      <c r="N4" s="2">
        <v>1.498</v>
      </c>
      <c r="O4" s="2">
        <v>1.474</v>
      </c>
      <c r="P4" s="2">
        <v>1.411</v>
      </c>
      <c r="Q4" t="str">
        <f t="shared" ref="Q4:Q23" si="1">TEXT(AVERAGE(K4:P4),"0.00")&amp;"±"&amp;TEXT((MAX(K4:P4)-AVERAGE(K4:P4)),"0.00")</f>
        <v>1.47±0.07</v>
      </c>
    </row>
    <row r="5" spans="1:17" x14ac:dyDescent="0.25">
      <c r="A5" s="1" t="s">
        <v>2</v>
      </c>
      <c r="B5" s="2">
        <v>13.659000000000001</v>
      </c>
      <c r="C5" s="2">
        <v>15.692</v>
      </c>
      <c r="D5" s="2">
        <v>13.775</v>
      </c>
      <c r="E5" s="2">
        <v>13.996</v>
      </c>
      <c r="F5" s="2">
        <v>13.257</v>
      </c>
      <c r="G5" s="2">
        <v>12.875</v>
      </c>
      <c r="H5" t="str">
        <f t="shared" si="0"/>
        <v>13.88±1.82</v>
      </c>
      <c r="J5" s="1" t="s">
        <v>2</v>
      </c>
      <c r="K5" s="2">
        <v>1.5640000000000001</v>
      </c>
      <c r="L5" s="2">
        <v>1.7729999999999999</v>
      </c>
      <c r="M5" s="2">
        <v>1.5620000000000001</v>
      </c>
      <c r="N5" s="2">
        <v>1.579</v>
      </c>
      <c r="O5" s="2">
        <v>1.5229999999999999</v>
      </c>
      <c r="P5" s="2">
        <v>1.458</v>
      </c>
      <c r="Q5" t="str">
        <f t="shared" si="1"/>
        <v>1.58±0.20</v>
      </c>
    </row>
    <row r="6" spans="1:17" x14ac:dyDescent="0.25">
      <c r="A6" s="1" t="s">
        <v>3</v>
      </c>
      <c r="B6" s="3">
        <v>15.77</v>
      </c>
      <c r="C6" s="2">
        <v>12.821999999999999</v>
      </c>
      <c r="D6" s="2">
        <v>13.217000000000001</v>
      </c>
      <c r="E6" s="2">
        <v>11.804</v>
      </c>
      <c r="F6" s="2">
        <v>12.268000000000001</v>
      </c>
      <c r="G6" s="2">
        <v>12.281000000000001</v>
      </c>
      <c r="H6" t="str">
        <f t="shared" si="0"/>
        <v>13.03±2.74</v>
      </c>
      <c r="I6" s="2"/>
      <c r="J6" s="1" t="s">
        <v>3</v>
      </c>
      <c r="K6" s="3">
        <v>1.798</v>
      </c>
      <c r="L6" s="2">
        <v>1.4630000000000001</v>
      </c>
      <c r="M6" s="2">
        <v>1.5269999999999999</v>
      </c>
      <c r="N6" s="2">
        <v>1.3420000000000001</v>
      </c>
      <c r="O6" s="1">
        <v>1.3620000000000001</v>
      </c>
      <c r="P6" s="2">
        <v>1.377</v>
      </c>
      <c r="Q6" t="str">
        <f t="shared" si="1"/>
        <v>1.48±0.32</v>
      </c>
    </row>
    <row r="7" spans="1:17" x14ac:dyDescent="0.25">
      <c r="A7" s="1" t="s">
        <v>4</v>
      </c>
      <c r="B7" s="2">
        <v>14.528</v>
      </c>
      <c r="C7" s="2">
        <v>14.872</v>
      </c>
      <c r="D7" s="2">
        <v>13.952999999999999</v>
      </c>
      <c r="E7" s="2">
        <v>13.222</v>
      </c>
      <c r="F7" s="2">
        <v>13.292999999999999</v>
      </c>
      <c r="G7" s="2">
        <v>13.128</v>
      </c>
      <c r="H7" t="str">
        <f t="shared" si="0"/>
        <v>13.83±1.04</v>
      </c>
      <c r="I7" s="2"/>
      <c r="J7" s="1" t="s">
        <v>4</v>
      </c>
      <c r="K7" s="2">
        <v>1.659</v>
      </c>
      <c r="L7" s="2">
        <v>1.746</v>
      </c>
      <c r="M7" s="2">
        <v>1.617</v>
      </c>
      <c r="N7" s="2">
        <v>1.538</v>
      </c>
      <c r="O7" s="1">
        <v>1.5549999999999999</v>
      </c>
      <c r="P7" s="2">
        <v>1.526</v>
      </c>
      <c r="Q7" t="str">
        <f t="shared" si="1"/>
        <v>1.61±0.14</v>
      </c>
    </row>
    <row r="8" spans="1:17" x14ac:dyDescent="0.25">
      <c r="A8" s="1" t="s">
        <v>5</v>
      </c>
      <c r="B8" s="2">
        <v>17.032</v>
      </c>
      <c r="C8" s="2">
        <v>14.180999999999999</v>
      </c>
      <c r="D8" s="2">
        <v>14.271000000000001</v>
      </c>
      <c r="E8" s="2">
        <v>14.031000000000001</v>
      </c>
      <c r="F8" s="2">
        <v>14.345000000000001</v>
      </c>
      <c r="G8" s="2">
        <v>14.029</v>
      </c>
      <c r="H8" t="str">
        <f t="shared" si="0"/>
        <v>14.65±2.38</v>
      </c>
      <c r="I8" s="2"/>
      <c r="J8" s="1" t="s">
        <v>5</v>
      </c>
      <c r="K8" s="2">
        <v>1.8080000000000001</v>
      </c>
      <c r="L8" s="2">
        <v>1.6120000000000001</v>
      </c>
      <c r="M8" s="2">
        <v>1.6279999999999999</v>
      </c>
      <c r="N8" s="2">
        <v>1.597</v>
      </c>
      <c r="O8" s="1">
        <v>1.6220000000000001</v>
      </c>
      <c r="P8" s="2">
        <v>1.6020000000000001</v>
      </c>
      <c r="Q8" t="str">
        <f t="shared" si="1"/>
        <v>1.64±0.16</v>
      </c>
    </row>
    <row r="9" spans="1:17" x14ac:dyDescent="0.25">
      <c r="A9" s="1" t="s">
        <v>6</v>
      </c>
      <c r="B9" s="2">
        <v>15.522</v>
      </c>
      <c r="C9" s="2">
        <v>13.885</v>
      </c>
      <c r="D9" s="2">
        <v>14.07</v>
      </c>
      <c r="E9" s="2">
        <v>13.276</v>
      </c>
      <c r="F9" s="2">
        <v>13.483000000000001</v>
      </c>
      <c r="G9" s="2">
        <v>12.904</v>
      </c>
      <c r="H9" t="str">
        <f t="shared" si="0"/>
        <v>13.86±1.67</v>
      </c>
      <c r="I9" s="2"/>
      <c r="J9" s="1" t="s">
        <v>6</v>
      </c>
      <c r="K9" s="2">
        <v>1.7150000000000001</v>
      </c>
      <c r="L9" s="2">
        <v>1.607</v>
      </c>
      <c r="M9" s="2">
        <v>1.62</v>
      </c>
      <c r="N9" s="2">
        <v>1.492</v>
      </c>
      <c r="O9" s="1">
        <v>1.518</v>
      </c>
      <c r="P9" s="2">
        <v>1.466</v>
      </c>
      <c r="Q9" t="str">
        <f t="shared" si="1"/>
        <v>1.57±0.15</v>
      </c>
    </row>
    <row r="10" spans="1:17" x14ac:dyDescent="0.25">
      <c r="A10" s="1" t="s">
        <v>7</v>
      </c>
      <c r="B10" s="2">
        <v>14.079000000000001</v>
      </c>
      <c r="C10" s="2">
        <v>13.66</v>
      </c>
      <c r="D10" s="2">
        <v>12.952999999999999</v>
      </c>
      <c r="E10" s="2">
        <v>12.694000000000001</v>
      </c>
      <c r="F10" s="2">
        <v>13.096</v>
      </c>
      <c r="G10" s="2">
        <v>12.981</v>
      </c>
      <c r="H10" t="str">
        <f t="shared" si="0"/>
        <v>13.24±0.84</v>
      </c>
      <c r="I10" s="2"/>
      <c r="J10" s="1" t="s">
        <v>7</v>
      </c>
      <c r="K10" s="2">
        <v>1.5760000000000001</v>
      </c>
      <c r="L10" s="2">
        <v>1.5349999999999999</v>
      </c>
      <c r="M10" s="2">
        <v>1.456</v>
      </c>
      <c r="N10" s="2">
        <v>1.4259999999999999</v>
      </c>
      <c r="O10" s="1">
        <v>1.492</v>
      </c>
      <c r="P10" s="2">
        <v>1.4710000000000001</v>
      </c>
      <c r="Q10" t="str">
        <f t="shared" si="1"/>
        <v>1.49±0.08</v>
      </c>
    </row>
    <row r="11" spans="1:17" x14ac:dyDescent="0.25">
      <c r="A11" s="1" t="s">
        <v>8</v>
      </c>
      <c r="B11" s="4">
        <v>13.135999999999999</v>
      </c>
      <c r="C11" s="4">
        <v>12.244999999999999</v>
      </c>
      <c r="D11" s="4">
        <v>12.224</v>
      </c>
      <c r="E11" s="4">
        <v>11.952999999999999</v>
      </c>
      <c r="F11" s="4">
        <v>11.901999999999999</v>
      </c>
      <c r="G11" s="4">
        <v>11.981999999999999</v>
      </c>
      <c r="H11" t="str">
        <f t="shared" si="0"/>
        <v>12.24±0.90</v>
      </c>
      <c r="J11" s="1" t="s">
        <v>8</v>
      </c>
      <c r="K11" s="4">
        <v>1.4970000000000001</v>
      </c>
      <c r="L11" s="4">
        <v>1.389</v>
      </c>
      <c r="M11" s="4">
        <v>1.3759999999999999</v>
      </c>
      <c r="N11" s="4">
        <v>1.359</v>
      </c>
      <c r="O11" s="4">
        <v>1.339</v>
      </c>
      <c r="P11" s="4">
        <v>1.355</v>
      </c>
      <c r="Q11" t="str">
        <f t="shared" si="1"/>
        <v>1.39±0.11</v>
      </c>
    </row>
    <row r="12" spans="1:17" x14ac:dyDescent="0.25">
      <c r="A12" s="1"/>
      <c r="B12" s="2"/>
      <c r="C12" s="2"/>
      <c r="D12" s="2"/>
      <c r="E12" s="2"/>
      <c r="F12" s="2"/>
      <c r="G12" s="2"/>
      <c r="I12" s="2"/>
      <c r="J12" s="2"/>
      <c r="K12" s="2"/>
      <c r="L12" s="2"/>
      <c r="M12" s="2"/>
      <c r="N12" s="2"/>
      <c r="O12" s="1"/>
      <c r="P12" s="2"/>
    </row>
    <row r="13" spans="1:17" x14ac:dyDescent="0.25">
      <c r="A13" s="5" t="s">
        <v>12</v>
      </c>
      <c r="B13" s="5"/>
      <c r="C13" s="5"/>
      <c r="D13" s="5"/>
      <c r="E13" s="5"/>
      <c r="F13" s="5"/>
      <c r="G13" s="5"/>
      <c r="I13" s="2"/>
      <c r="J13" s="5" t="s">
        <v>11</v>
      </c>
      <c r="K13" s="5"/>
      <c r="L13" s="5"/>
      <c r="M13" s="5"/>
      <c r="N13" s="5"/>
      <c r="O13" s="5"/>
      <c r="P13" s="5"/>
    </row>
    <row r="14" spans="1:17" x14ac:dyDescent="0.25">
      <c r="A14" s="1" t="s">
        <v>13</v>
      </c>
      <c r="B14" s="2">
        <v>30</v>
      </c>
      <c r="C14" s="2">
        <v>60</v>
      </c>
      <c r="D14" s="2">
        <v>120</v>
      </c>
      <c r="E14" s="2">
        <v>240</v>
      </c>
      <c r="F14" s="2">
        <v>360</v>
      </c>
      <c r="G14" s="2">
        <v>480</v>
      </c>
      <c r="I14" s="2"/>
      <c r="J14" s="1" t="s">
        <v>13</v>
      </c>
      <c r="K14" s="2">
        <v>30</v>
      </c>
      <c r="L14" s="2">
        <v>60</v>
      </c>
      <c r="M14" s="2">
        <v>120</v>
      </c>
      <c r="N14" s="2">
        <v>240</v>
      </c>
      <c r="O14" s="1">
        <v>360</v>
      </c>
      <c r="P14" s="2">
        <v>480</v>
      </c>
    </row>
    <row r="15" spans="1:17" x14ac:dyDescent="0.25">
      <c r="A15" s="1" t="s">
        <v>0</v>
      </c>
      <c r="B15" s="2">
        <v>17.457999999999998</v>
      </c>
      <c r="C15" s="2">
        <v>17.602</v>
      </c>
      <c r="D15" s="2">
        <v>14.661</v>
      </c>
      <c r="E15" s="2">
        <v>16.962</v>
      </c>
      <c r="F15" s="2">
        <v>14.685</v>
      </c>
      <c r="G15" s="2">
        <v>15.952999999999999</v>
      </c>
      <c r="H15" t="str">
        <f t="shared" si="0"/>
        <v>16.22±1.38</v>
      </c>
      <c r="I15" s="2"/>
      <c r="J15" s="1" t="s">
        <v>0</v>
      </c>
      <c r="K15" s="2">
        <v>5.3410000000000002</v>
      </c>
      <c r="L15" s="2">
        <v>5.3739999999999997</v>
      </c>
      <c r="M15" s="2">
        <v>4.5830000000000002</v>
      </c>
      <c r="N15" s="2">
        <v>5.2080000000000002</v>
      </c>
      <c r="O15" s="2">
        <v>4.5880000000000001</v>
      </c>
      <c r="P15" s="2">
        <v>4.9400000000000004</v>
      </c>
      <c r="Q15" t="str">
        <f t="shared" si="1"/>
        <v>5.01±0.37</v>
      </c>
    </row>
    <row r="16" spans="1:17" x14ac:dyDescent="0.25">
      <c r="A16" s="1" t="s">
        <v>1</v>
      </c>
      <c r="B16" s="2">
        <v>11.228999999999999</v>
      </c>
      <c r="C16" s="2">
        <v>11.706</v>
      </c>
      <c r="D16" s="2">
        <v>14.234</v>
      </c>
      <c r="E16" s="2">
        <v>12.051</v>
      </c>
      <c r="F16" s="2">
        <v>14.039</v>
      </c>
      <c r="G16" s="2">
        <v>14.664999999999999</v>
      </c>
      <c r="H16" t="str">
        <f t="shared" si="0"/>
        <v>12.99±1.68</v>
      </c>
      <c r="I16" s="2"/>
      <c r="J16" s="1" t="s">
        <v>1</v>
      </c>
      <c r="K16" s="2">
        <v>3.5059999999999998</v>
      </c>
      <c r="L16" s="2">
        <v>3.7069999999999999</v>
      </c>
      <c r="M16" s="2">
        <v>4.4569999999999999</v>
      </c>
      <c r="N16" s="2">
        <v>3.8140000000000001</v>
      </c>
      <c r="O16" s="2">
        <v>4.4009999999999998</v>
      </c>
      <c r="P16" s="2">
        <v>4.5830000000000002</v>
      </c>
      <c r="Q16" t="str">
        <f t="shared" si="1"/>
        <v>4.08±0.51</v>
      </c>
    </row>
    <row r="17" spans="1:17" x14ac:dyDescent="0.25">
      <c r="A17" s="1" t="s">
        <v>2</v>
      </c>
      <c r="B17" s="2">
        <v>10.622999999999999</v>
      </c>
      <c r="C17" s="2">
        <v>16.524000000000001</v>
      </c>
      <c r="D17" s="2">
        <v>10.678000000000001</v>
      </c>
      <c r="E17" s="2">
        <v>12.398</v>
      </c>
      <c r="F17" s="2">
        <v>10.278</v>
      </c>
      <c r="G17" s="2">
        <v>10.981999999999999</v>
      </c>
      <c r="H17" t="str">
        <f t="shared" si="0"/>
        <v>11.91±4.61</v>
      </c>
      <c r="I17" s="2"/>
      <c r="J17" s="1" t="s">
        <v>2</v>
      </c>
      <c r="K17" s="2">
        <v>3.323</v>
      </c>
      <c r="L17" s="2">
        <v>5.6180000000000003</v>
      </c>
      <c r="M17" s="2">
        <v>3.3679999999999999</v>
      </c>
      <c r="N17" s="2">
        <v>3.9</v>
      </c>
      <c r="O17" s="2">
        <v>3.3170000000000002</v>
      </c>
      <c r="P17" s="2">
        <v>3.5209999999999999</v>
      </c>
      <c r="Q17" t="str">
        <f t="shared" si="1"/>
        <v>3.84±1.78</v>
      </c>
    </row>
    <row r="18" spans="1:17" x14ac:dyDescent="0.25">
      <c r="A18" s="1" t="s">
        <v>3</v>
      </c>
      <c r="B18" s="2">
        <v>11.968</v>
      </c>
      <c r="C18" s="2">
        <v>13.138</v>
      </c>
      <c r="D18" s="2">
        <v>13.414999999999999</v>
      </c>
      <c r="E18" s="2">
        <v>13.545999999999999</v>
      </c>
      <c r="F18" s="2">
        <v>13.651999999999999</v>
      </c>
      <c r="G18" s="2">
        <v>14.244999999999999</v>
      </c>
      <c r="H18" t="str">
        <f t="shared" si="0"/>
        <v>13.33±0.92</v>
      </c>
      <c r="I18" s="2"/>
      <c r="J18" s="1" t="s">
        <v>3</v>
      </c>
      <c r="K18" s="2">
        <v>3.7589999999999999</v>
      </c>
      <c r="L18" s="2">
        <v>4.1580000000000004</v>
      </c>
      <c r="M18" s="2">
        <v>4.1900000000000004</v>
      </c>
      <c r="N18" s="2">
        <v>4.2850000000000001</v>
      </c>
      <c r="O18" s="1">
        <v>4.2160000000000002</v>
      </c>
      <c r="P18" s="2">
        <v>4.43</v>
      </c>
      <c r="Q18" t="str">
        <f t="shared" si="1"/>
        <v>4.17±0.26</v>
      </c>
    </row>
    <row r="19" spans="1:17" x14ac:dyDescent="0.25">
      <c r="A19" s="1" t="s">
        <v>4</v>
      </c>
      <c r="B19" s="2">
        <v>11.962</v>
      </c>
      <c r="C19" s="2">
        <v>13.209</v>
      </c>
      <c r="D19" s="2">
        <v>13.675000000000001</v>
      </c>
      <c r="E19" s="2">
        <v>14.858000000000001</v>
      </c>
      <c r="F19" s="2">
        <v>14.54</v>
      </c>
      <c r="G19" s="2">
        <v>15.215</v>
      </c>
      <c r="H19" t="str">
        <f t="shared" si="0"/>
        <v>13.91±1.31</v>
      </c>
      <c r="I19" s="2"/>
      <c r="J19" s="1" t="s">
        <v>4</v>
      </c>
      <c r="K19" s="2">
        <v>3.766</v>
      </c>
      <c r="L19" s="2">
        <v>4.1269999999999998</v>
      </c>
      <c r="M19" s="2">
        <v>4.2519999999999998</v>
      </c>
      <c r="N19" s="2">
        <v>4.5629999999999997</v>
      </c>
      <c r="O19" s="1">
        <v>4.4619999999999997</v>
      </c>
      <c r="P19" s="2">
        <v>4.681</v>
      </c>
      <c r="Q19" t="str">
        <f t="shared" si="1"/>
        <v>4.31±0.37</v>
      </c>
    </row>
    <row r="20" spans="1:17" x14ac:dyDescent="0.25">
      <c r="A20" s="1" t="s">
        <v>5</v>
      </c>
      <c r="B20" s="2">
        <v>11.542</v>
      </c>
      <c r="C20" s="2">
        <v>12.026999999999999</v>
      </c>
      <c r="D20" s="2">
        <v>11.958</v>
      </c>
      <c r="E20" s="2">
        <v>10.802</v>
      </c>
      <c r="F20" s="2">
        <v>13.98</v>
      </c>
      <c r="G20" s="2">
        <v>16.824000000000002</v>
      </c>
      <c r="H20" t="str">
        <f t="shared" si="0"/>
        <v>12.86±3.97</v>
      </c>
      <c r="J20" s="1" t="s">
        <v>5</v>
      </c>
      <c r="K20" s="2">
        <v>3.6349999999999998</v>
      </c>
      <c r="L20" s="2">
        <v>3.75</v>
      </c>
      <c r="M20" s="2">
        <v>3.68</v>
      </c>
      <c r="N20" s="2">
        <v>3.399</v>
      </c>
      <c r="O20" s="1">
        <v>4.2169999999999996</v>
      </c>
      <c r="P20" s="2">
        <v>5.0010000000000003</v>
      </c>
      <c r="Q20" t="str">
        <f t="shared" si="1"/>
        <v>3.95±1.05</v>
      </c>
    </row>
    <row r="21" spans="1:17" x14ac:dyDescent="0.25">
      <c r="A21" s="1" t="s">
        <v>6</v>
      </c>
      <c r="B21" s="2">
        <v>11.891999999999999</v>
      </c>
      <c r="C21" s="2">
        <v>17.922999999999998</v>
      </c>
      <c r="D21" s="2">
        <v>12.824999999999999</v>
      </c>
      <c r="E21" s="2">
        <v>14.057</v>
      </c>
      <c r="F21" s="2">
        <v>13.882999999999999</v>
      </c>
      <c r="G21" s="2">
        <v>14.069000000000001</v>
      </c>
      <c r="H21" t="str">
        <f t="shared" si="0"/>
        <v>14.11±3.81</v>
      </c>
      <c r="J21" s="1" t="s">
        <v>6</v>
      </c>
      <c r="K21" s="2">
        <v>3.758</v>
      </c>
      <c r="L21" s="2">
        <v>5.22</v>
      </c>
      <c r="M21" s="2">
        <v>4.0570000000000004</v>
      </c>
      <c r="N21" s="2">
        <v>4.3319999999999999</v>
      </c>
      <c r="O21" s="1">
        <v>4.3460000000000001</v>
      </c>
      <c r="P21" s="2">
        <v>4.4279999999999999</v>
      </c>
      <c r="Q21" t="str">
        <f t="shared" si="1"/>
        <v>4.36±0.86</v>
      </c>
    </row>
    <row r="22" spans="1:17" x14ac:dyDescent="0.25">
      <c r="A22" s="1" t="s">
        <v>7</v>
      </c>
      <c r="B22" s="2">
        <v>12.159000000000001</v>
      </c>
      <c r="C22" s="2">
        <v>10.929</v>
      </c>
      <c r="D22" s="2">
        <v>12.007999999999999</v>
      </c>
      <c r="E22" s="2">
        <v>12.557</v>
      </c>
      <c r="F22" s="2">
        <v>12.85</v>
      </c>
      <c r="G22" s="2">
        <v>13.090999999999999</v>
      </c>
      <c r="H22" t="str">
        <f t="shared" si="0"/>
        <v>12.27±0.83</v>
      </c>
      <c r="J22" s="1" t="s">
        <v>7</v>
      </c>
      <c r="K22" s="2">
        <v>3.8119999999999998</v>
      </c>
      <c r="L22" s="2">
        <v>3.4039999999999999</v>
      </c>
      <c r="M22" s="2">
        <v>3.74</v>
      </c>
      <c r="N22" s="2">
        <v>3.9319999999999999</v>
      </c>
      <c r="O22" s="1">
        <v>4.016</v>
      </c>
      <c r="P22" s="2">
        <v>4.0949999999999998</v>
      </c>
      <c r="Q22" t="str">
        <f t="shared" si="1"/>
        <v>3.83±0.26</v>
      </c>
    </row>
    <row r="23" spans="1:17" x14ac:dyDescent="0.25">
      <c r="A23" s="1" t="s">
        <v>8</v>
      </c>
      <c r="B23" s="4">
        <v>10.8</v>
      </c>
      <c r="C23" s="4">
        <v>9.4139999999999997</v>
      </c>
      <c r="D23" s="4">
        <v>9.4540000000000006</v>
      </c>
      <c r="E23" s="4">
        <v>10.37</v>
      </c>
      <c r="F23" s="4">
        <v>9.9329999999999998</v>
      </c>
      <c r="G23" s="4">
        <v>10</v>
      </c>
      <c r="H23" t="str">
        <f t="shared" si="0"/>
        <v>10.00±0.80</v>
      </c>
      <c r="I23" s="2"/>
      <c r="J23" s="1" t="s">
        <v>8</v>
      </c>
      <c r="K23" s="4">
        <v>3.4510000000000001</v>
      </c>
      <c r="L23" s="4">
        <v>2.9489999999999998</v>
      </c>
      <c r="M23" s="4">
        <v>3.01</v>
      </c>
      <c r="N23" s="4">
        <v>3.351</v>
      </c>
      <c r="O23" s="4">
        <v>3.2050000000000001</v>
      </c>
      <c r="P23" s="4">
        <v>3.234</v>
      </c>
      <c r="Q23" t="str">
        <f t="shared" si="1"/>
        <v>3.20±0.25</v>
      </c>
    </row>
  </sheetData>
  <mergeCells count="4">
    <mergeCell ref="A1:G1"/>
    <mergeCell ref="J1:P1"/>
    <mergeCell ref="A13:G13"/>
    <mergeCell ref="J13:P13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3"/>
  <sheetViews>
    <sheetView zoomScale="130" zoomScaleNormal="130" workbookViewId="0">
      <selection activeCell="C26" sqref="C26"/>
    </sheetView>
  </sheetViews>
  <sheetFormatPr defaultColWidth="9" defaultRowHeight="14.4" x14ac:dyDescent="0.25"/>
  <cols>
    <col min="1" max="1" width="20.5546875" customWidth="1"/>
    <col min="8" max="8" width="14.33203125" customWidth="1"/>
    <col min="10" max="10" width="18.21875" customWidth="1"/>
    <col min="17" max="17" width="14.33203125" customWidth="1"/>
  </cols>
  <sheetData>
    <row r="1" spans="1:17" x14ac:dyDescent="0.25">
      <c r="A1" s="5" t="s">
        <v>10</v>
      </c>
      <c r="B1" s="6"/>
      <c r="C1" s="6"/>
      <c r="D1" s="6"/>
      <c r="E1" s="6"/>
      <c r="F1" s="6"/>
      <c r="G1" s="6"/>
      <c r="J1" s="5" t="s">
        <v>9</v>
      </c>
      <c r="K1" s="6"/>
      <c r="L1" s="6"/>
      <c r="M1" s="6"/>
      <c r="N1" s="6"/>
      <c r="O1" s="6"/>
      <c r="P1" s="6"/>
    </row>
    <row r="2" spans="1:17" x14ac:dyDescent="0.25">
      <c r="A2" s="1" t="s">
        <v>13</v>
      </c>
      <c r="B2" s="2">
        <v>30</v>
      </c>
      <c r="C2" s="2">
        <v>60</v>
      </c>
      <c r="D2" s="2">
        <v>120</v>
      </c>
      <c r="E2" s="2">
        <v>240</v>
      </c>
      <c r="F2" s="2">
        <v>360</v>
      </c>
      <c r="G2" s="2">
        <v>480</v>
      </c>
      <c r="J2" s="1" t="s">
        <v>13</v>
      </c>
      <c r="K2" s="2">
        <v>30</v>
      </c>
      <c r="L2" s="2">
        <v>60</v>
      </c>
      <c r="M2" s="2">
        <v>120</v>
      </c>
      <c r="N2" s="2">
        <v>240</v>
      </c>
      <c r="O2" s="2">
        <v>360</v>
      </c>
      <c r="P2" s="2">
        <v>480</v>
      </c>
    </row>
    <row r="3" spans="1:17" x14ac:dyDescent="0.25">
      <c r="A3" s="1" t="s">
        <v>0</v>
      </c>
      <c r="B3" s="2">
        <v>47.872999999999998</v>
      </c>
      <c r="C3" s="2">
        <v>47.889000000000003</v>
      </c>
      <c r="D3" s="2">
        <v>47.942999999999998</v>
      </c>
      <c r="E3" s="2">
        <v>47.890999999999998</v>
      </c>
      <c r="F3" s="1">
        <v>47.851999999999997</v>
      </c>
      <c r="G3" s="2">
        <v>47.847999999999999</v>
      </c>
      <c r="H3" t="str">
        <f>TEXT(AVERAGE(B3:G3),"0.00")&amp;"±"&amp;TEXT((MAX(B3:G3)-AVERAGE(B3:G3)),"0.00")</f>
        <v>47.88±0.06</v>
      </c>
      <c r="J3" s="1" t="s">
        <v>0</v>
      </c>
      <c r="K3" s="2">
        <v>4.9539999999999997</v>
      </c>
      <c r="L3" s="2">
        <v>4.9550000000000001</v>
      </c>
      <c r="M3" s="2">
        <v>4.9580000000000002</v>
      </c>
      <c r="N3" s="2">
        <v>4.9550000000000001</v>
      </c>
      <c r="O3" s="2">
        <v>4.9530000000000003</v>
      </c>
      <c r="P3" s="2">
        <v>4.952</v>
      </c>
      <c r="Q3" t="str">
        <f>TEXT(AVERAGE(K3:P3),"0.00")&amp;"±"&amp;TEXT((MAX(K3:P3)-AVERAGE(K3:P3)),"0.00")</f>
        <v>4.95±0.00</v>
      </c>
    </row>
    <row r="4" spans="1:17" x14ac:dyDescent="0.25">
      <c r="A4" s="1" t="s">
        <v>1</v>
      </c>
      <c r="B4" s="2">
        <v>13.689</v>
      </c>
      <c r="C4" s="2">
        <v>13.855</v>
      </c>
      <c r="D4" s="2">
        <v>12.833</v>
      </c>
      <c r="E4" s="2">
        <v>13.269</v>
      </c>
      <c r="F4" s="2">
        <v>13.081</v>
      </c>
      <c r="G4" s="2">
        <v>13.025</v>
      </c>
      <c r="H4" t="str">
        <f t="shared" ref="H4:H23" si="0">TEXT(AVERAGE(B4:G4),"0.00")&amp;"±"&amp;TEXT((MAX(B4:G4)-AVERAGE(B4:G4)),"0.00")</f>
        <v>13.29±0.56</v>
      </c>
      <c r="J4" s="1" t="s">
        <v>1</v>
      </c>
      <c r="K4" s="2">
        <v>1.54</v>
      </c>
      <c r="L4" s="2">
        <v>1.597</v>
      </c>
      <c r="M4" s="2">
        <v>1.4359999999999999</v>
      </c>
      <c r="N4" s="2">
        <v>1.4870000000000001</v>
      </c>
      <c r="O4" s="2">
        <v>1.476</v>
      </c>
      <c r="P4" s="2">
        <v>1.4650000000000001</v>
      </c>
      <c r="Q4" t="str">
        <f t="shared" ref="Q4:Q23" si="1">TEXT(AVERAGE(K4:P4),"0.00")&amp;"±"&amp;TEXT((MAX(K4:P4)-AVERAGE(K4:P4)),"0.00")</f>
        <v>1.50±0.10</v>
      </c>
    </row>
    <row r="5" spans="1:17" x14ac:dyDescent="0.25">
      <c r="A5" s="1" t="s">
        <v>2</v>
      </c>
      <c r="B5" s="2">
        <v>14.048999999999999</v>
      </c>
      <c r="C5" s="2">
        <v>14.135</v>
      </c>
      <c r="D5" s="2">
        <v>14.145</v>
      </c>
      <c r="E5" s="2">
        <v>13.62</v>
      </c>
      <c r="F5" s="2">
        <v>12.872999999999999</v>
      </c>
      <c r="G5" s="2">
        <v>12.881</v>
      </c>
      <c r="H5" t="str">
        <f t="shared" si="0"/>
        <v>13.62±0.53</v>
      </c>
      <c r="J5" s="1" t="s">
        <v>2</v>
      </c>
      <c r="K5" s="2">
        <v>1.607</v>
      </c>
      <c r="L5" s="2">
        <v>1.611</v>
      </c>
      <c r="M5" s="2">
        <v>1.6220000000000001</v>
      </c>
      <c r="N5" s="2">
        <v>1.552</v>
      </c>
      <c r="O5" s="2">
        <v>1.4750000000000001</v>
      </c>
      <c r="P5" s="2">
        <v>1.46</v>
      </c>
      <c r="Q5" t="str">
        <f t="shared" si="1"/>
        <v>1.55±0.07</v>
      </c>
    </row>
    <row r="6" spans="1:17" x14ac:dyDescent="0.25">
      <c r="A6" s="1" t="s">
        <v>3</v>
      </c>
      <c r="B6" s="3">
        <v>15.766</v>
      </c>
      <c r="C6" s="2">
        <v>12.83</v>
      </c>
      <c r="D6" s="2">
        <v>13.228999999999999</v>
      </c>
      <c r="E6" s="2">
        <v>11.836</v>
      </c>
      <c r="F6" s="2">
        <v>12.279</v>
      </c>
      <c r="G6" s="2">
        <v>12.308</v>
      </c>
      <c r="H6" t="str">
        <f t="shared" si="0"/>
        <v>13.04±2.72</v>
      </c>
      <c r="I6" s="2"/>
      <c r="J6" s="1" t="s">
        <v>3</v>
      </c>
      <c r="K6" s="3">
        <v>1.798</v>
      </c>
      <c r="L6" s="2">
        <v>1.464</v>
      </c>
      <c r="M6" s="2">
        <v>1.53</v>
      </c>
      <c r="N6" s="2">
        <v>1.3480000000000001</v>
      </c>
      <c r="O6" s="1">
        <v>1.365</v>
      </c>
      <c r="P6" s="2">
        <v>1.381</v>
      </c>
      <c r="Q6" t="str">
        <f t="shared" si="1"/>
        <v>1.48±0.32</v>
      </c>
    </row>
    <row r="7" spans="1:17" x14ac:dyDescent="0.25">
      <c r="A7" s="1" t="s">
        <v>4</v>
      </c>
      <c r="B7" s="2">
        <v>14.571999999999999</v>
      </c>
      <c r="C7" s="2">
        <v>14.641999999999999</v>
      </c>
      <c r="D7" s="2">
        <v>13.64</v>
      </c>
      <c r="E7" s="2">
        <v>13.22</v>
      </c>
      <c r="F7" s="2">
        <v>13.292999999999999</v>
      </c>
      <c r="G7" s="2">
        <v>13.128</v>
      </c>
      <c r="H7" t="str">
        <f t="shared" si="0"/>
        <v>13.75±0.89</v>
      </c>
      <c r="I7" s="2"/>
      <c r="J7" s="1" t="s">
        <v>4</v>
      </c>
      <c r="K7" s="2">
        <v>1.667</v>
      </c>
      <c r="L7" s="2">
        <v>1.71</v>
      </c>
      <c r="M7" s="2">
        <v>1.58</v>
      </c>
      <c r="N7" s="2">
        <v>1.5369999999999999</v>
      </c>
      <c r="O7" s="1">
        <v>1.5549999999999999</v>
      </c>
      <c r="P7" s="2">
        <v>1.5249999999999999</v>
      </c>
      <c r="Q7" t="str">
        <f t="shared" si="1"/>
        <v>1.60±0.11</v>
      </c>
    </row>
    <row r="8" spans="1:17" x14ac:dyDescent="0.25">
      <c r="A8" s="1" t="s">
        <v>5</v>
      </c>
      <c r="B8" s="2">
        <v>17.09</v>
      </c>
      <c r="C8" s="2">
        <v>14.188000000000001</v>
      </c>
      <c r="D8" s="2">
        <v>14.269</v>
      </c>
      <c r="E8" s="2">
        <v>14.031000000000001</v>
      </c>
      <c r="F8" s="2">
        <v>14.345000000000001</v>
      </c>
      <c r="G8" s="2">
        <v>14.03</v>
      </c>
      <c r="H8" t="str">
        <f t="shared" si="0"/>
        <v>14.66±2.43</v>
      </c>
      <c r="I8" s="2"/>
      <c r="J8" s="1" t="s">
        <v>5</v>
      </c>
      <c r="K8" s="2">
        <v>1.8049999999999999</v>
      </c>
      <c r="L8" s="2">
        <v>1.6120000000000001</v>
      </c>
      <c r="M8" s="2">
        <v>1.6259999999999999</v>
      </c>
      <c r="N8" s="2">
        <v>1.597</v>
      </c>
      <c r="O8" s="1">
        <v>1.6220000000000001</v>
      </c>
      <c r="P8" s="2">
        <v>1.603</v>
      </c>
      <c r="Q8" t="str">
        <f t="shared" si="1"/>
        <v>1.64±0.16</v>
      </c>
    </row>
    <row r="9" spans="1:17" x14ac:dyDescent="0.25">
      <c r="A9" s="1" t="s">
        <v>6</v>
      </c>
      <c r="B9" s="2">
        <v>15.667</v>
      </c>
      <c r="C9" s="2">
        <v>13.798</v>
      </c>
      <c r="D9" s="2">
        <v>13.521000000000001</v>
      </c>
      <c r="E9" s="2">
        <v>13.28</v>
      </c>
      <c r="F9" s="2">
        <v>13.483000000000001</v>
      </c>
      <c r="G9" s="2">
        <v>12.92</v>
      </c>
      <c r="H9" t="str">
        <f t="shared" si="0"/>
        <v>13.78±1.89</v>
      </c>
      <c r="I9" s="2"/>
      <c r="J9" s="1" t="s">
        <v>6</v>
      </c>
      <c r="K9" s="2">
        <v>1.7250000000000001</v>
      </c>
      <c r="L9" s="2">
        <v>1.6020000000000001</v>
      </c>
      <c r="M9" s="2">
        <v>1.5329999999999999</v>
      </c>
      <c r="N9" s="2">
        <v>1.4930000000000001</v>
      </c>
      <c r="O9" s="1">
        <v>1.518</v>
      </c>
      <c r="P9" s="2">
        <v>1.47</v>
      </c>
      <c r="Q9" t="str">
        <f t="shared" si="1"/>
        <v>1.56±0.17</v>
      </c>
    </row>
    <row r="10" spans="1:17" x14ac:dyDescent="0.25">
      <c r="A10" s="1" t="s">
        <v>7</v>
      </c>
      <c r="B10" s="2">
        <v>14.048</v>
      </c>
      <c r="C10" s="2">
        <v>13.686</v>
      </c>
      <c r="D10" s="2">
        <v>12.914999999999999</v>
      </c>
      <c r="E10" s="2">
        <v>12.712999999999999</v>
      </c>
      <c r="F10" s="2">
        <v>13.096</v>
      </c>
      <c r="G10" s="2">
        <v>12.986000000000001</v>
      </c>
      <c r="H10" t="str">
        <f t="shared" si="0"/>
        <v>13.24±0.81</v>
      </c>
      <c r="I10" s="2"/>
      <c r="J10" s="1" t="s">
        <v>7</v>
      </c>
      <c r="K10" s="2">
        <v>1.577</v>
      </c>
      <c r="L10" s="2">
        <v>1.536</v>
      </c>
      <c r="M10" s="2">
        <v>1.4510000000000001</v>
      </c>
      <c r="N10" s="2">
        <v>1.4319999999999999</v>
      </c>
      <c r="O10" s="1">
        <v>1.492</v>
      </c>
      <c r="P10" s="2">
        <v>1.474</v>
      </c>
      <c r="Q10" t="str">
        <f t="shared" si="1"/>
        <v>1.49±0.08</v>
      </c>
    </row>
    <row r="11" spans="1:17" x14ac:dyDescent="0.25">
      <c r="A11" s="1" t="s">
        <v>8</v>
      </c>
      <c r="B11" s="4">
        <v>13</v>
      </c>
      <c r="C11" s="4">
        <v>12.351000000000001</v>
      </c>
      <c r="D11" s="4">
        <v>12.206</v>
      </c>
      <c r="E11" s="4">
        <v>11.964</v>
      </c>
      <c r="F11" s="4">
        <v>11.917</v>
      </c>
      <c r="G11" s="4">
        <v>11.94</v>
      </c>
      <c r="H11" t="str">
        <f t="shared" si="0"/>
        <v>12.23±0.77</v>
      </c>
      <c r="J11" s="1" t="s">
        <v>8</v>
      </c>
      <c r="K11" s="4">
        <v>1.476</v>
      </c>
      <c r="L11" s="4">
        <v>1.399</v>
      </c>
      <c r="M11" s="4">
        <v>1.377</v>
      </c>
      <c r="N11" s="4">
        <v>1.363</v>
      </c>
      <c r="O11" s="4">
        <v>1.3460000000000001</v>
      </c>
      <c r="P11" s="4">
        <v>1.355</v>
      </c>
      <c r="Q11" t="str">
        <f t="shared" si="1"/>
        <v>1.39±0.09</v>
      </c>
    </row>
    <row r="12" spans="1:17" x14ac:dyDescent="0.25">
      <c r="A12" s="1"/>
      <c r="B12" s="2"/>
      <c r="C12" s="2"/>
      <c r="D12" s="2"/>
      <c r="E12" s="2"/>
      <c r="F12" s="2"/>
      <c r="G12" s="2"/>
      <c r="I12" s="2"/>
      <c r="J12" s="2"/>
      <c r="K12" s="2"/>
      <c r="L12" s="2"/>
      <c r="M12" s="2"/>
      <c r="N12" s="2"/>
      <c r="O12" s="1"/>
      <c r="P12" s="2"/>
    </row>
    <row r="13" spans="1:17" x14ac:dyDescent="0.25">
      <c r="A13" s="5" t="s">
        <v>12</v>
      </c>
      <c r="B13" s="5"/>
      <c r="C13" s="5"/>
      <c r="D13" s="5"/>
      <c r="E13" s="5"/>
      <c r="F13" s="5"/>
      <c r="G13" s="5"/>
      <c r="I13" s="2"/>
      <c r="J13" s="5" t="s">
        <v>11</v>
      </c>
      <c r="K13" s="5"/>
      <c r="L13" s="5"/>
      <c r="M13" s="5"/>
      <c r="N13" s="5"/>
      <c r="O13" s="5"/>
      <c r="P13" s="5"/>
    </row>
    <row r="14" spans="1:17" x14ac:dyDescent="0.25">
      <c r="A14" s="1" t="s">
        <v>13</v>
      </c>
      <c r="B14" s="2">
        <v>30</v>
      </c>
      <c r="C14" s="2">
        <v>60</v>
      </c>
      <c r="D14" s="2">
        <v>120</v>
      </c>
      <c r="E14" s="2">
        <v>240</v>
      </c>
      <c r="F14" s="2">
        <v>360</v>
      </c>
      <c r="G14" s="2">
        <v>480</v>
      </c>
      <c r="I14" s="2"/>
      <c r="J14" s="1" t="s">
        <v>13</v>
      </c>
      <c r="K14" s="2">
        <v>30</v>
      </c>
      <c r="L14" s="2">
        <v>60</v>
      </c>
      <c r="M14" s="2">
        <v>120</v>
      </c>
      <c r="N14" s="2">
        <v>240</v>
      </c>
      <c r="O14" s="1">
        <v>360</v>
      </c>
      <c r="P14" s="2">
        <v>480</v>
      </c>
    </row>
    <row r="15" spans="1:17" x14ac:dyDescent="0.25">
      <c r="A15" s="1" t="s">
        <v>0</v>
      </c>
      <c r="B15" s="2">
        <v>17.457999999999998</v>
      </c>
      <c r="C15" s="2">
        <v>17.602</v>
      </c>
      <c r="D15" s="2">
        <v>14.661</v>
      </c>
      <c r="E15" s="2">
        <v>16.962</v>
      </c>
      <c r="F15" s="2">
        <v>14.685</v>
      </c>
      <c r="G15" s="2">
        <v>15.952999999999999</v>
      </c>
      <c r="H15" t="str">
        <f t="shared" si="0"/>
        <v>16.22±1.38</v>
      </c>
      <c r="I15" s="2"/>
      <c r="J15" s="1" t="s">
        <v>0</v>
      </c>
      <c r="K15" s="2">
        <v>5.3410000000000002</v>
      </c>
      <c r="L15" s="2">
        <v>5.3739999999999997</v>
      </c>
      <c r="M15" s="2">
        <v>4.5830000000000002</v>
      </c>
      <c r="N15" s="2">
        <v>5.2080000000000002</v>
      </c>
      <c r="O15" s="2">
        <v>4.5880000000000001</v>
      </c>
      <c r="P15" s="2">
        <v>4.9400000000000004</v>
      </c>
      <c r="Q15" t="str">
        <f t="shared" si="1"/>
        <v>5.01±0.37</v>
      </c>
    </row>
    <row r="16" spans="1:17" x14ac:dyDescent="0.25">
      <c r="A16" s="1" t="s">
        <v>1</v>
      </c>
      <c r="B16" s="2">
        <v>10.927</v>
      </c>
      <c r="C16" s="2">
        <v>10.686</v>
      </c>
      <c r="D16" s="2">
        <v>11.879</v>
      </c>
      <c r="E16" s="2">
        <v>14.840999999999999</v>
      </c>
      <c r="F16" s="2">
        <v>13.654</v>
      </c>
      <c r="G16" s="2">
        <v>12.914999999999999</v>
      </c>
      <c r="H16" t="str">
        <f t="shared" si="0"/>
        <v>12.48±2.36</v>
      </c>
      <c r="I16" s="2"/>
      <c r="J16" s="1" t="s">
        <v>1</v>
      </c>
      <c r="K16" s="2">
        <v>3.431</v>
      </c>
      <c r="L16" s="2">
        <v>3.35</v>
      </c>
      <c r="M16" s="2">
        <v>3.73</v>
      </c>
      <c r="N16" s="2">
        <v>4.633</v>
      </c>
      <c r="O16" s="2">
        <v>4.2869999999999999</v>
      </c>
      <c r="P16" s="2">
        <v>4.0620000000000003</v>
      </c>
      <c r="Q16" t="str">
        <f t="shared" si="1"/>
        <v>3.92±0.72</v>
      </c>
    </row>
    <row r="17" spans="1:17" x14ac:dyDescent="0.25">
      <c r="A17" s="1" t="s">
        <v>2</v>
      </c>
      <c r="B17" s="2">
        <v>13.801</v>
      </c>
      <c r="C17" s="2">
        <v>18.393999999999998</v>
      </c>
      <c r="D17" s="2">
        <v>9.9540000000000006</v>
      </c>
      <c r="E17" s="2">
        <v>10.539</v>
      </c>
      <c r="F17" s="2">
        <v>9.9269999999999996</v>
      </c>
      <c r="G17" s="2">
        <v>11.906000000000001</v>
      </c>
      <c r="H17" t="str">
        <f t="shared" si="0"/>
        <v>12.42±5.97</v>
      </c>
      <c r="I17" s="2"/>
      <c r="J17" s="1" t="s">
        <v>2</v>
      </c>
      <c r="K17" s="2">
        <v>4.4039999999999999</v>
      </c>
      <c r="L17" s="2">
        <v>6.6050000000000004</v>
      </c>
      <c r="M17" s="2">
        <v>3.0939999999999999</v>
      </c>
      <c r="N17" s="2">
        <v>3.3679999999999999</v>
      </c>
      <c r="O17" s="2">
        <v>3.1850000000000001</v>
      </c>
      <c r="P17" s="2">
        <v>3.8140000000000001</v>
      </c>
      <c r="Q17" t="str">
        <f t="shared" si="1"/>
        <v>4.08±2.53</v>
      </c>
    </row>
    <row r="18" spans="1:17" x14ac:dyDescent="0.25">
      <c r="A18" s="1" t="s">
        <v>3</v>
      </c>
      <c r="B18" s="2">
        <v>11.96</v>
      </c>
      <c r="C18" s="2">
        <v>13.14</v>
      </c>
      <c r="D18" s="2">
        <v>13.426</v>
      </c>
      <c r="E18" s="2">
        <v>13.55</v>
      </c>
      <c r="F18" s="2">
        <v>13.663</v>
      </c>
      <c r="G18" s="2">
        <v>14.246</v>
      </c>
      <c r="H18" t="str">
        <f t="shared" si="0"/>
        <v>13.33±0.92</v>
      </c>
      <c r="I18" s="2"/>
      <c r="J18" s="1" t="s">
        <v>3</v>
      </c>
      <c r="K18" s="2">
        <v>3.7559999999999998</v>
      </c>
      <c r="L18" s="2">
        <v>4.1589999999999998</v>
      </c>
      <c r="M18" s="2">
        <v>4.1950000000000003</v>
      </c>
      <c r="N18" s="2">
        <v>4.2859999999999996</v>
      </c>
      <c r="O18" s="1">
        <v>4.2190000000000003</v>
      </c>
      <c r="P18" s="2">
        <v>4.43</v>
      </c>
      <c r="Q18" t="str">
        <f t="shared" si="1"/>
        <v>4.17±0.26</v>
      </c>
    </row>
    <row r="19" spans="1:17" x14ac:dyDescent="0.25">
      <c r="A19" s="1" t="s">
        <v>4</v>
      </c>
      <c r="B19" s="2">
        <v>11.893000000000001</v>
      </c>
      <c r="C19" s="2">
        <v>13.507999999999999</v>
      </c>
      <c r="D19" s="2">
        <v>13.625</v>
      </c>
      <c r="E19" s="2">
        <v>14.861000000000001</v>
      </c>
      <c r="F19" s="2">
        <v>14.536</v>
      </c>
      <c r="G19" s="2">
        <v>15.180999999999999</v>
      </c>
      <c r="H19" t="str">
        <f t="shared" si="0"/>
        <v>13.93±1.25</v>
      </c>
      <c r="I19" s="2"/>
      <c r="J19" s="1" t="s">
        <v>4</v>
      </c>
      <c r="K19" s="2">
        <v>3.7490000000000001</v>
      </c>
      <c r="L19" s="2">
        <v>4.226</v>
      </c>
      <c r="M19" s="2">
        <v>4.242</v>
      </c>
      <c r="N19" s="2">
        <v>4.5640000000000001</v>
      </c>
      <c r="O19" s="1">
        <v>4.4649999999999999</v>
      </c>
      <c r="P19" s="2">
        <v>4.673</v>
      </c>
      <c r="Q19" t="str">
        <f t="shared" si="1"/>
        <v>4.32±0.35</v>
      </c>
    </row>
    <row r="20" spans="1:17" x14ac:dyDescent="0.25">
      <c r="A20" s="1" t="s">
        <v>5</v>
      </c>
      <c r="B20" s="2">
        <v>11.568</v>
      </c>
      <c r="C20" s="2">
        <v>11.976000000000001</v>
      </c>
      <c r="D20" s="2">
        <v>11.875999999999999</v>
      </c>
      <c r="E20" s="2">
        <v>10.808</v>
      </c>
      <c r="F20" s="2">
        <v>13.95</v>
      </c>
      <c r="G20" s="2">
        <v>16.774000000000001</v>
      </c>
      <c r="H20" t="str">
        <f t="shared" si="0"/>
        <v>12.83±3.95</v>
      </c>
      <c r="J20" s="1" t="s">
        <v>5</v>
      </c>
      <c r="K20" s="2">
        <v>3.641</v>
      </c>
      <c r="L20" s="2">
        <v>3.7290000000000001</v>
      </c>
      <c r="M20" s="2">
        <v>3.6549999999999998</v>
      </c>
      <c r="N20" s="2">
        <v>3.4</v>
      </c>
      <c r="O20" s="1">
        <v>4.2119999999999997</v>
      </c>
      <c r="P20" s="2">
        <v>4.9889999999999999</v>
      </c>
      <c r="Q20" t="str">
        <f t="shared" si="1"/>
        <v>3.94±1.05</v>
      </c>
    </row>
    <row r="21" spans="1:17" x14ac:dyDescent="0.25">
      <c r="A21" s="1" t="s">
        <v>6</v>
      </c>
      <c r="B21" s="2">
        <v>12.093999999999999</v>
      </c>
      <c r="C21" s="2">
        <v>17.933</v>
      </c>
      <c r="D21" s="2">
        <v>12.722</v>
      </c>
      <c r="E21" s="2">
        <v>14.058</v>
      </c>
      <c r="F21" s="2">
        <v>13.881</v>
      </c>
      <c r="G21" s="2">
        <v>14.07</v>
      </c>
      <c r="H21" t="str">
        <f t="shared" si="0"/>
        <v>14.13±3.81</v>
      </c>
      <c r="J21" s="1" t="s">
        <v>6</v>
      </c>
      <c r="K21" s="2">
        <v>3.8170000000000002</v>
      </c>
      <c r="L21" s="2">
        <v>5.2240000000000002</v>
      </c>
      <c r="M21" s="2">
        <v>4.0449999999999999</v>
      </c>
      <c r="N21" s="2">
        <v>4.3319999999999999</v>
      </c>
      <c r="O21" s="1">
        <v>4.3460000000000001</v>
      </c>
      <c r="P21" s="2">
        <v>4.4279999999999999</v>
      </c>
      <c r="Q21" t="str">
        <f t="shared" si="1"/>
        <v>4.37±0.86</v>
      </c>
    </row>
    <row r="22" spans="1:17" x14ac:dyDescent="0.25">
      <c r="A22" s="1" t="s">
        <v>7</v>
      </c>
      <c r="B22" s="2">
        <v>12.173999999999999</v>
      </c>
      <c r="C22" s="2">
        <v>10.933999999999999</v>
      </c>
      <c r="D22" s="2">
        <v>12.042999999999999</v>
      </c>
      <c r="E22" s="2">
        <v>12.555</v>
      </c>
      <c r="F22" s="2">
        <v>12.843</v>
      </c>
      <c r="G22" s="2">
        <v>13.085000000000001</v>
      </c>
      <c r="H22" t="str">
        <f t="shared" si="0"/>
        <v>12.27±0.81</v>
      </c>
      <c r="J22" s="1" t="s">
        <v>7</v>
      </c>
      <c r="K22" s="2">
        <v>3.8159999999999998</v>
      </c>
      <c r="L22" s="2">
        <v>3.4049999999999998</v>
      </c>
      <c r="M22" s="2">
        <v>3.7480000000000002</v>
      </c>
      <c r="N22" s="2">
        <v>3.9319999999999999</v>
      </c>
      <c r="O22" s="1">
        <v>4.0149999999999997</v>
      </c>
      <c r="P22" s="2">
        <v>4.0940000000000003</v>
      </c>
      <c r="Q22" t="str">
        <f t="shared" si="1"/>
        <v>3.84±0.26</v>
      </c>
    </row>
    <row r="23" spans="1:17" x14ac:dyDescent="0.25">
      <c r="A23" s="1" t="s">
        <v>8</v>
      </c>
      <c r="B23" s="4">
        <v>10.795</v>
      </c>
      <c r="C23" s="4">
        <v>9.407</v>
      </c>
      <c r="D23" s="4">
        <v>9.4629999999999992</v>
      </c>
      <c r="E23" s="4">
        <v>10.372999999999999</v>
      </c>
      <c r="F23" s="4">
        <v>9.9339999999999993</v>
      </c>
      <c r="G23" s="4">
        <v>10.009</v>
      </c>
      <c r="H23" t="str">
        <f t="shared" si="0"/>
        <v>10.00±0.80</v>
      </c>
      <c r="I23" s="2"/>
      <c r="J23" s="1" t="s">
        <v>8</v>
      </c>
      <c r="K23" s="4">
        <v>3.4489999999999998</v>
      </c>
      <c r="L23" s="4">
        <v>2.9460000000000002</v>
      </c>
      <c r="M23" s="4">
        <v>3.0129999999999999</v>
      </c>
      <c r="N23" s="4">
        <v>3.3519999999999999</v>
      </c>
      <c r="O23" s="4">
        <v>3.2050000000000001</v>
      </c>
      <c r="P23" s="4">
        <v>3.2370000000000001</v>
      </c>
      <c r="Q23" t="str">
        <f t="shared" si="1"/>
        <v>3.20±0.25</v>
      </c>
    </row>
  </sheetData>
  <mergeCells count="4">
    <mergeCell ref="A1:G1"/>
    <mergeCell ref="J1:P1"/>
    <mergeCell ref="A13:G13"/>
    <mergeCell ref="J13:P13"/>
  </mergeCells>
  <phoneticPr fontId="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"/>
  <sheetViews>
    <sheetView tabSelected="1" zoomScale="130" zoomScaleNormal="130" workbookViewId="0">
      <selection activeCell="D26" sqref="D26"/>
    </sheetView>
  </sheetViews>
  <sheetFormatPr defaultColWidth="9" defaultRowHeight="14.4" x14ac:dyDescent="0.25"/>
  <cols>
    <col min="1" max="1" width="19.6640625" customWidth="1"/>
    <col min="8" max="8" width="13.77734375" customWidth="1"/>
    <col min="10" max="10" width="20.88671875" customWidth="1"/>
    <col min="17" max="17" width="13.5546875" customWidth="1"/>
  </cols>
  <sheetData>
    <row r="1" spans="1:17" x14ac:dyDescent="0.25">
      <c r="A1" s="5" t="s">
        <v>10</v>
      </c>
      <c r="B1" s="6"/>
      <c r="C1" s="6"/>
      <c r="D1" s="6"/>
      <c r="E1" s="6"/>
      <c r="F1" s="6"/>
      <c r="G1" s="6"/>
      <c r="J1" s="5" t="s">
        <v>9</v>
      </c>
      <c r="K1" s="6"/>
      <c r="L1" s="6"/>
      <c r="M1" s="6"/>
      <c r="N1" s="6"/>
      <c r="O1" s="6"/>
      <c r="P1" s="6"/>
    </row>
    <row r="2" spans="1:17" x14ac:dyDescent="0.25">
      <c r="A2" s="1" t="s">
        <v>13</v>
      </c>
      <c r="B2" s="2">
        <v>30</v>
      </c>
      <c r="C2" s="2">
        <v>60</v>
      </c>
      <c r="D2" s="2">
        <v>120</v>
      </c>
      <c r="E2" s="2">
        <v>240</v>
      </c>
      <c r="F2" s="2">
        <v>360</v>
      </c>
      <c r="G2" s="2">
        <v>480</v>
      </c>
      <c r="J2" s="1" t="s">
        <v>13</v>
      </c>
      <c r="K2" s="2">
        <v>30</v>
      </c>
      <c r="L2" s="2">
        <v>60</v>
      </c>
      <c r="M2" s="2">
        <v>120</v>
      </c>
      <c r="N2" s="2">
        <v>240</v>
      </c>
      <c r="O2" s="2">
        <v>360</v>
      </c>
      <c r="P2" s="2">
        <v>480</v>
      </c>
    </row>
    <row r="3" spans="1:17" x14ac:dyDescent="0.25">
      <c r="A3" s="1" t="s">
        <v>0</v>
      </c>
      <c r="B3" s="2">
        <v>47.872999999999998</v>
      </c>
      <c r="C3" s="2">
        <v>47.889000000000003</v>
      </c>
      <c r="D3" s="2">
        <v>47.942999999999998</v>
      </c>
      <c r="E3" s="2">
        <v>47.890999999999998</v>
      </c>
      <c r="F3" s="1">
        <v>47.851999999999997</v>
      </c>
      <c r="G3" s="2">
        <v>47.847999999999999</v>
      </c>
      <c r="H3" t="str">
        <f>TEXT(AVERAGE(B3:G3),"0.00")&amp;"±"&amp;TEXT((MAX(B3:G3)-AVERAGE(B3:G3)),"0.00")</f>
        <v>47.88±0.06</v>
      </c>
      <c r="J3" s="1" t="s">
        <v>0</v>
      </c>
      <c r="K3" s="2">
        <v>4.9539999999999997</v>
      </c>
      <c r="L3" s="2">
        <v>4.9550000000000001</v>
      </c>
      <c r="M3" s="2">
        <v>4.9580000000000002</v>
      </c>
      <c r="N3" s="2">
        <v>4.9550000000000001</v>
      </c>
      <c r="O3" s="2">
        <v>4.9530000000000003</v>
      </c>
      <c r="P3" s="2">
        <v>4.952</v>
      </c>
      <c r="Q3" t="str">
        <f>TEXT(AVERAGE(K3:P3),"0.00")&amp;"±"&amp;TEXT((MAX(K3:P3)-AVERAGE(K3:P3)),"0.00")</f>
        <v>4.95±0.00</v>
      </c>
    </row>
    <row r="4" spans="1:17" x14ac:dyDescent="0.25">
      <c r="A4" s="1" t="s">
        <v>1</v>
      </c>
      <c r="B4" s="2">
        <v>13.927</v>
      </c>
      <c r="C4" s="2">
        <v>13.635999999999999</v>
      </c>
      <c r="D4" s="2">
        <v>12.981</v>
      </c>
      <c r="E4" s="2">
        <v>13.492000000000001</v>
      </c>
      <c r="F4" s="2">
        <v>12.955</v>
      </c>
      <c r="G4" s="2">
        <v>13.345000000000001</v>
      </c>
      <c r="H4" t="str">
        <f t="shared" ref="H4:H23" si="0">TEXT(AVERAGE(B4:G4),"0.00")&amp;"±"&amp;TEXT((MAX(B4:G4)-AVERAGE(B4:G4)),"0.00")</f>
        <v>13.39±0.54</v>
      </c>
      <c r="J4" s="1" t="s">
        <v>1</v>
      </c>
      <c r="K4" s="2">
        <v>1.569</v>
      </c>
      <c r="L4" s="2">
        <v>1.524</v>
      </c>
      <c r="M4" s="2">
        <v>1.472</v>
      </c>
      <c r="N4" s="2">
        <v>1.52</v>
      </c>
      <c r="O4" s="2">
        <v>1.4359999999999999</v>
      </c>
      <c r="P4" s="2">
        <v>1.4830000000000001</v>
      </c>
      <c r="Q4" t="str">
        <f t="shared" ref="Q4:Q23" si="1">TEXT(AVERAGE(K4:P4),"0.00")&amp;"±"&amp;TEXT((MAX(K4:P4)-AVERAGE(K4:P4)),"0.00")</f>
        <v>1.50±0.07</v>
      </c>
    </row>
    <row r="5" spans="1:17" x14ac:dyDescent="0.25">
      <c r="A5" s="1" t="s">
        <v>2</v>
      </c>
      <c r="B5" s="2">
        <v>14.116</v>
      </c>
      <c r="C5" s="2">
        <v>15.616</v>
      </c>
      <c r="D5" s="2">
        <v>14.42</v>
      </c>
      <c r="E5" s="2">
        <v>13.351000000000001</v>
      </c>
      <c r="F5" s="2">
        <v>13.124000000000001</v>
      </c>
      <c r="G5" s="2">
        <v>12.946</v>
      </c>
      <c r="H5" t="str">
        <f t="shared" si="0"/>
        <v>13.93±1.69</v>
      </c>
      <c r="J5" s="1" t="s">
        <v>2</v>
      </c>
      <c r="K5" s="2">
        <v>1.621</v>
      </c>
      <c r="L5" s="2">
        <v>1.804</v>
      </c>
      <c r="M5" s="2">
        <v>1.663</v>
      </c>
      <c r="N5" s="2">
        <v>1.524</v>
      </c>
      <c r="O5" s="2">
        <v>1.5109999999999999</v>
      </c>
      <c r="P5" s="2">
        <v>1.4770000000000001</v>
      </c>
      <c r="Q5" t="str">
        <f t="shared" si="1"/>
        <v>1.60±0.20</v>
      </c>
    </row>
    <row r="6" spans="1:17" x14ac:dyDescent="0.25">
      <c r="A6" s="1" t="s">
        <v>3</v>
      </c>
      <c r="B6" s="3">
        <v>15.762</v>
      </c>
      <c r="C6" s="2">
        <v>12.832000000000001</v>
      </c>
      <c r="D6" s="2">
        <v>13.215</v>
      </c>
      <c r="E6" s="2">
        <v>11.824</v>
      </c>
      <c r="F6" s="2">
        <v>12.265000000000001</v>
      </c>
      <c r="G6" s="2">
        <v>12.269</v>
      </c>
      <c r="H6" t="str">
        <f t="shared" si="0"/>
        <v>13.03±2.73</v>
      </c>
      <c r="I6" s="2"/>
      <c r="J6" s="1" t="s">
        <v>3</v>
      </c>
      <c r="K6" s="3">
        <v>1.7969999999999999</v>
      </c>
      <c r="L6" s="2">
        <v>1.4650000000000001</v>
      </c>
      <c r="M6" s="2">
        <v>1.5269999999999999</v>
      </c>
      <c r="N6" s="2">
        <v>1.347</v>
      </c>
      <c r="O6" s="1">
        <v>1.363</v>
      </c>
      <c r="P6" s="2">
        <v>1.3759999999999999</v>
      </c>
      <c r="Q6" t="str">
        <f t="shared" si="1"/>
        <v>1.48±0.32</v>
      </c>
    </row>
    <row r="7" spans="1:17" x14ac:dyDescent="0.25">
      <c r="A7" s="1" t="s">
        <v>4</v>
      </c>
      <c r="B7" s="2">
        <v>14.53</v>
      </c>
      <c r="C7" s="2">
        <v>14.515000000000001</v>
      </c>
      <c r="D7" s="2">
        <v>13.564</v>
      </c>
      <c r="E7" s="2">
        <v>13.221</v>
      </c>
      <c r="F7" s="2">
        <v>13.292999999999999</v>
      </c>
      <c r="G7" s="2">
        <v>13.125999999999999</v>
      </c>
      <c r="H7" t="str">
        <f t="shared" si="0"/>
        <v>13.71±0.82</v>
      </c>
      <c r="I7" s="2"/>
      <c r="J7" s="1" t="s">
        <v>4</v>
      </c>
      <c r="K7" s="2">
        <v>1.6619999999999999</v>
      </c>
      <c r="L7" s="2">
        <v>1.69</v>
      </c>
      <c r="M7" s="2">
        <v>1.569</v>
      </c>
      <c r="N7" s="2">
        <v>1.536</v>
      </c>
      <c r="O7" s="1">
        <v>1.5549999999999999</v>
      </c>
      <c r="P7" s="2">
        <v>1.5249999999999999</v>
      </c>
      <c r="Q7" t="str">
        <f t="shared" si="1"/>
        <v>1.59±0.10</v>
      </c>
    </row>
    <row r="8" spans="1:17" x14ac:dyDescent="0.25">
      <c r="A8" s="1" t="s">
        <v>5</v>
      </c>
      <c r="B8" s="2">
        <v>17.033999999999999</v>
      </c>
      <c r="C8" s="2">
        <v>14.196</v>
      </c>
      <c r="D8" s="2">
        <v>14.286</v>
      </c>
      <c r="E8" s="2">
        <v>14.023999999999999</v>
      </c>
      <c r="F8" s="2">
        <v>14.345000000000001</v>
      </c>
      <c r="G8" s="2">
        <v>14.031000000000001</v>
      </c>
      <c r="H8" t="str">
        <f t="shared" si="0"/>
        <v>14.65±2.38</v>
      </c>
      <c r="I8" s="2"/>
      <c r="J8" s="1" t="s">
        <v>5</v>
      </c>
      <c r="K8" s="2">
        <v>1.8069999999999999</v>
      </c>
      <c r="L8" s="2">
        <v>1.6140000000000001</v>
      </c>
      <c r="M8" s="2">
        <v>1.629</v>
      </c>
      <c r="N8" s="2">
        <v>1.597</v>
      </c>
      <c r="O8" s="1">
        <v>1.6220000000000001</v>
      </c>
      <c r="P8" s="2">
        <v>1.603</v>
      </c>
      <c r="Q8" t="str">
        <f t="shared" si="1"/>
        <v>1.65±0.16</v>
      </c>
    </row>
    <row r="9" spans="1:17" x14ac:dyDescent="0.25">
      <c r="A9" s="1" t="s">
        <v>6</v>
      </c>
      <c r="B9" s="2">
        <v>15.24</v>
      </c>
      <c r="C9" s="2">
        <v>13.813000000000001</v>
      </c>
      <c r="D9" s="2">
        <v>13.967000000000001</v>
      </c>
      <c r="E9" s="2">
        <v>13.271000000000001</v>
      </c>
      <c r="F9" s="2">
        <v>13.483000000000001</v>
      </c>
      <c r="G9" s="2">
        <v>12.923</v>
      </c>
      <c r="H9" t="str">
        <f t="shared" si="0"/>
        <v>13.78±1.46</v>
      </c>
      <c r="I9" s="2"/>
      <c r="J9" s="1" t="s">
        <v>6</v>
      </c>
      <c r="K9" s="2">
        <v>1.7030000000000001</v>
      </c>
      <c r="L9" s="2">
        <v>1.6040000000000001</v>
      </c>
      <c r="M9" s="2">
        <v>1.6140000000000001</v>
      </c>
      <c r="N9" s="2">
        <v>1.4930000000000001</v>
      </c>
      <c r="O9" s="1">
        <v>1.518</v>
      </c>
      <c r="P9" s="2">
        <v>1.47</v>
      </c>
      <c r="Q9" t="str">
        <f t="shared" si="1"/>
        <v>1.57±0.14</v>
      </c>
    </row>
    <row r="10" spans="1:17" x14ac:dyDescent="0.25">
      <c r="A10" s="1" t="s">
        <v>7</v>
      </c>
      <c r="B10" s="2">
        <v>13.981</v>
      </c>
      <c r="C10" s="2">
        <v>13.634</v>
      </c>
      <c r="D10" s="2">
        <v>12.943</v>
      </c>
      <c r="E10" s="2">
        <v>12.691000000000001</v>
      </c>
      <c r="F10" s="2">
        <v>13.096</v>
      </c>
      <c r="G10" s="2">
        <v>12.994999999999999</v>
      </c>
      <c r="H10" t="str">
        <f t="shared" si="0"/>
        <v>13.22±0.76</v>
      </c>
      <c r="I10" s="2"/>
      <c r="J10" s="1" t="s">
        <v>7</v>
      </c>
      <c r="K10" s="2">
        <v>1.5720000000000001</v>
      </c>
      <c r="L10" s="2">
        <v>1.528</v>
      </c>
      <c r="M10" s="2">
        <v>1.454</v>
      </c>
      <c r="N10" s="2">
        <v>1.429</v>
      </c>
      <c r="O10" s="1">
        <v>1.492</v>
      </c>
      <c r="P10" s="2">
        <v>1.4750000000000001</v>
      </c>
      <c r="Q10" t="str">
        <f t="shared" si="1"/>
        <v>1.49±0.08</v>
      </c>
    </row>
    <row r="11" spans="1:17" x14ac:dyDescent="0.25">
      <c r="A11" s="1" t="s">
        <v>8</v>
      </c>
      <c r="B11" s="4">
        <v>13.048999999999999</v>
      </c>
      <c r="C11" s="4">
        <v>12.359</v>
      </c>
      <c r="D11" s="4">
        <v>12.244</v>
      </c>
      <c r="E11" s="4">
        <v>11.912000000000001</v>
      </c>
      <c r="F11" s="4">
        <v>11.862</v>
      </c>
      <c r="G11" s="4">
        <v>12.007</v>
      </c>
      <c r="H11" t="str">
        <f t="shared" si="0"/>
        <v>12.24±0.81</v>
      </c>
      <c r="J11" s="1" t="s">
        <v>8</v>
      </c>
      <c r="K11" s="4">
        <v>1.4850000000000001</v>
      </c>
      <c r="L11" s="4">
        <v>1.399</v>
      </c>
      <c r="M11" s="4">
        <v>1.381</v>
      </c>
      <c r="N11" s="4">
        <v>1.3580000000000001</v>
      </c>
      <c r="O11" s="4">
        <v>1.343</v>
      </c>
      <c r="P11" s="4">
        <v>1.359</v>
      </c>
      <c r="Q11" t="str">
        <f t="shared" si="1"/>
        <v>1.39±0.10</v>
      </c>
    </row>
    <row r="12" spans="1:17" x14ac:dyDescent="0.25">
      <c r="A12" s="1"/>
      <c r="B12" s="2"/>
      <c r="C12" s="2"/>
      <c r="D12" s="2"/>
      <c r="E12" s="2"/>
      <c r="F12" s="2"/>
      <c r="G12" s="2"/>
      <c r="I12" s="2"/>
      <c r="J12" s="2"/>
      <c r="K12" s="2"/>
      <c r="L12" s="2"/>
      <c r="M12" s="2"/>
      <c r="N12" s="2"/>
      <c r="O12" s="1"/>
      <c r="P12" s="2"/>
    </row>
    <row r="13" spans="1:17" x14ac:dyDescent="0.25">
      <c r="A13" s="5" t="s">
        <v>12</v>
      </c>
      <c r="B13" s="5"/>
      <c r="C13" s="5"/>
      <c r="D13" s="5"/>
      <c r="E13" s="5"/>
      <c r="F13" s="5"/>
      <c r="G13" s="5"/>
      <c r="I13" s="2"/>
      <c r="J13" s="5" t="s">
        <v>11</v>
      </c>
      <c r="K13" s="5"/>
      <c r="L13" s="5"/>
      <c r="M13" s="5"/>
      <c r="N13" s="5"/>
      <c r="O13" s="5"/>
      <c r="P13" s="5"/>
    </row>
    <row r="14" spans="1:17" x14ac:dyDescent="0.25">
      <c r="A14" s="1" t="s">
        <v>13</v>
      </c>
      <c r="B14" s="2">
        <v>30</v>
      </c>
      <c r="C14" s="2">
        <v>60</v>
      </c>
      <c r="D14" s="2">
        <v>120</v>
      </c>
      <c r="E14" s="2">
        <v>240</v>
      </c>
      <c r="F14" s="2">
        <v>360</v>
      </c>
      <c r="G14" s="2">
        <v>480</v>
      </c>
      <c r="I14" s="2"/>
      <c r="J14" s="1" t="s">
        <v>13</v>
      </c>
      <c r="K14" s="2">
        <v>30</v>
      </c>
      <c r="L14" s="2">
        <v>60</v>
      </c>
      <c r="M14" s="2">
        <v>120</v>
      </c>
      <c r="N14" s="2">
        <v>240</v>
      </c>
      <c r="O14" s="1">
        <v>360</v>
      </c>
      <c r="P14" s="2">
        <v>480</v>
      </c>
    </row>
    <row r="15" spans="1:17" x14ac:dyDescent="0.25">
      <c r="A15" s="1" t="s">
        <v>0</v>
      </c>
      <c r="B15" s="2">
        <v>17.457999999999998</v>
      </c>
      <c r="C15" s="2">
        <v>17.602</v>
      </c>
      <c r="D15" s="2">
        <v>14.661</v>
      </c>
      <c r="E15" s="2">
        <v>16.962</v>
      </c>
      <c r="F15" s="2">
        <v>14.685</v>
      </c>
      <c r="G15" s="2">
        <v>15.952999999999999</v>
      </c>
      <c r="H15" t="str">
        <f t="shared" si="0"/>
        <v>16.22±1.38</v>
      </c>
      <c r="I15" s="2"/>
      <c r="J15" s="1" t="s">
        <v>0</v>
      </c>
      <c r="K15" s="2">
        <v>5.3410000000000002</v>
      </c>
      <c r="L15" s="2">
        <v>5.3739999999999997</v>
      </c>
      <c r="M15" s="2">
        <v>4.5830000000000002</v>
      </c>
      <c r="N15" s="2">
        <v>5.2080000000000002</v>
      </c>
      <c r="O15" s="2">
        <v>4.5880000000000001</v>
      </c>
      <c r="P15" s="2">
        <v>4.9400000000000004</v>
      </c>
      <c r="Q15" t="str">
        <f t="shared" si="1"/>
        <v>5.01±0.37</v>
      </c>
    </row>
    <row r="16" spans="1:17" x14ac:dyDescent="0.25">
      <c r="A16" s="1" t="s">
        <v>1</v>
      </c>
      <c r="B16" s="2">
        <v>11.397</v>
      </c>
      <c r="C16" s="2">
        <v>11.297000000000001</v>
      </c>
      <c r="D16" s="2">
        <v>12.031000000000001</v>
      </c>
      <c r="E16" s="2">
        <v>13.823</v>
      </c>
      <c r="F16" s="2">
        <v>14.6</v>
      </c>
      <c r="G16" s="2">
        <v>14.856</v>
      </c>
      <c r="H16" t="str">
        <f t="shared" si="0"/>
        <v>13.00±1.86</v>
      </c>
      <c r="I16" s="2"/>
      <c r="J16" s="1" t="s">
        <v>1</v>
      </c>
      <c r="K16" s="2">
        <v>3.57</v>
      </c>
      <c r="L16" s="2">
        <v>3.5329999999999999</v>
      </c>
      <c r="M16" s="2">
        <v>3.8069999999999999</v>
      </c>
      <c r="N16" s="2">
        <v>4.3380000000000001</v>
      </c>
      <c r="O16" s="2">
        <v>4.5640000000000001</v>
      </c>
      <c r="P16" s="2">
        <v>4.6369999999999996</v>
      </c>
      <c r="Q16" t="str">
        <f t="shared" si="1"/>
        <v>4.07±0.56</v>
      </c>
    </row>
    <row r="17" spans="1:17" x14ac:dyDescent="0.25">
      <c r="A17" s="1" t="s">
        <v>2</v>
      </c>
      <c r="B17" s="2">
        <v>13.329000000000001</v>
      </c>
      <c r="C17" s="2">
        <v>15.788</v>
      </c>
      <c r="D17" s="2">
        <v>10.702</v>
      </c>
      <c r="E17" s="2">
        <v>12.183</v>
      </c>
      <c r="F17" s="2">
        <v>9.9220000000000006</v>
      </c>
      <c r="G17" s="2">
        <v>10.57</v>
      </c>
      <c r="H17" t="str">
        <f t="shared" si="0"/>
        <v>12.08±3.71</v>
      </c>
      <c r="I17" s="2"/>
      <c r="J17" s="1" t="s">
        <v>2</v>
      </c>
      <c r="K17" s="2">
        <v>4.3230000000000004</v>
      </c>
      <c r="L17" s="2">
        <v>5.2279999999999998</v>
      </c>
      <c r="M17" s="2">
        <v>3.3069999999999999</v>
      </c>
      <c r="N17" s="2">
        <v>3.87</v>
      </c>
      <c r="O17" s="2">
        <v>3.1739999999999999</v>
      </c>
      <c r="P17" s="2">
        <v>3.3929999999999998</v>
      </c>
      <c r="Q17" t="str">
        <f t="shared" si="1"/>
        <v>3.88±1.35</v>
      </c>
    </row>
    <row r="18" spans="1:17" x14ac:dyDescent="0.25">
      <c r="A18" s="1" t="s">
        <v>3</v>
      </c>
      <c r="B18" s="2">
        <v>11.958</v>
      </c>
      <c r="C18" s="2">
        <v>13.143000000000001</v>
      </c>
      <c r="D18" s="2">
        <v>13.411</v>
      </c>
      <c r="E18" s="2">
        <v>13.555</v>
      </c>
      <c r="F18" s="2">
        <v>13.654</v>
      </c>
      <c r="G18" s="2">
        <v>14.25</v>
      </c>
      <c r="H18" t="str">
        <f t="shared" si="0"/>
        <v>13.33±0.92</v>
      </c>
      <c r="I18" s="2"/>
      <c r="J18" s="1" t="s">
        <v>3</v>
      </c>
      <c r="K18" s="2">
        <v>3.7559999999999998</v>
      </c>
      <c r="L18" s="2">
        <v>4.16</v>
      </c>
      <c r="M18" s="2">
        <v>4.1890000000000001</v>
      </c>
      <c r="N18" s="2">
        <v>4.2889999999999997</v>
      </c>
      <c r="O18" s="1">
        <v>4.2160000000000002</v>
      </c>
      <c r="P18" s="2">
        <v>4.4320000000000004</v>
      </c>
      <c r="Q18" t="str">
        <f t="shared" si="1"/>
        <v>4.17±0.26</v>
      </c>
    </row>
    <row r="19" spans="1:17" x14ac:dyDescent="0.25">
      <c r="A19" s="1" t="s">
        <v>4</v>
      </c>
      <c r="B19" s="2">
        <v>11.988</v>
      </c>
      <c r="C19" s="2">
        <v>12.983000000000001</v>
      </c>
      <c r="D19" s="2">
        <v>13.564</v>
      </c>
      <c r="E19" s="2">
        <v>14.773999999999999</v>
      </c>
      <c r="F19" s="2">
        <v>14.586</v>
      </c>
      <c r="G19" s="2">
        <v>15.143000000000001</v>
      </c>
      <c r="H19" t="str">
        <f t="shared" si="0"/>
        <v>13.84±1.30</v>
      </c>
      <c r="I19" s="2"/>
      <c r="J19" s="1" t="s">
        <v>4</v>
      </c>
      <c r="K19" s="2">
        <v>3.7719999999999998</v>
      </c>
      <c r="L19" s="2">
        <v>4.0650000000000004</v>
      </c>
      <c r="M19" s="2">
        <v>4.226</v>
      </c>
      <c r="N19" s="2">
        <v>4.548</v>
      </c>
      <c r="O19" s="1">
        <v>4.4740000000000002</v>
      </c>
      <c r="P19" s="2">
        <v>4.657</v>
      </c>
      <c r="Q19" t="str">
        <f t="shared" si="1"/>
        <v>4.29±0.37</v>
      </c>
    </row>
    <row r="20" spans="1:17" x14ac:dyDescent="0.25">
      <c r="A20" s="1" t="s">
        <v>5</v>
      </c>
      <c r="B20" s="2">
        <v>11.483000000000001</v>
      </c>
      <c r="C20" s="2">
        <v>12.055</v>
      </c>
      <c r="D20" s="2">
        <v>12.074</v>
      </c>
      <c r="E20" s="2">
        <v>10.824</v>
      </c>
      <c r="F20" s="2">
        <v>13.904</v>
      </c>
      <c r="G20" s="2">
        <v>16.722000000000001</v>
      </c>
      <c r="H20" t="str">
        <f t="shared" si="0"/>
        <v>12.84±3.88</v>
      </c>
      <c r="J20" s="1" t="s">
        <v>5</v>
      </c>
      <c r="K20" s="2">
        <v>3.6160000000000001</v>
      </c>
      <c r="L20" s="2">
        <v>3.7549999999999999</v>
      </c>
      <c r="M20" s="2">
        <v>3.7229999999999999</v>
      </c>
      <c r="N20" s="2">
        <v>3.4060000000000001</v>
      </c>
      <c r="O20" s="1">
        <v>4.2050000000000001</v>
      </c>
      <c r="P20" s="2">
        <v>4.9790000000000001</v>
      </c>
      <c r="Q20" t="str">
        <f t="shared" si="1"/>
        <v>3.95±1.03</v>
      </c>
    </row>
    <row r="21" spans="1:17" x14ac:dyDescent="0.25">
      <c r="A21" s="1" t="s">
        <v>6</v>
      </c>
      <c r="B21" s="2">
        <v>11.99</v>
      </c>
      <c r="C21" s="2">
        <v>17.948</v>
      </c>
      <c r="D21" s="2">
        <v>12.803000000000001</v>
      </c>
      <c r="E21" s="2">
        <v>14.06</v>
      </c>
      <c r="F21" s="2">
        <v>13.877000000000001</v>
      </c>
      <c r="G21" s="2">
        <v>14.071</v>
      </c>
      <c r="H21" t="str">
        <f t="shared" si="0"/>
        <v>14.12±3.82</v>
      </c>
      <c r="J21" s="1" t="s">
        <v>6</v>
      </c>
      <c r="K21" s="2">
        <v>3.7850000000000001</v>
      </c>
      <c r="L21" s="2">
        <v>5.2270000000000003</v>
      </c>
      <c r="M21" s="2">
        <v>4.0510000000000002</v>
      </c>
      <c r="N21" s="2">
        <v>4.3330000000000002</v>
      </c>
      <c r="O21" s="1">
        <v>4.3449999999999998</v>
      </c>
      <c r="P21" s="2">
        <v>4.4279999999999999</v>
      </c>
      <c r="Q21" t="str">
        <f t="shared" si="1"/>
        <v>4.36±0.87</v>
      </c>
    </row>
    <row r="22" spans="1:17" x14ac:dyDescent="0.25">
      <c r="A22" s="1" t="s">
        <v>7</v>
      </c>
      <c r="B22" s="2">
        <v>12.234</v>
      </c>
      <c r="C22" s="2">
        <v>10.974</v>
      </c>
      <c r="D22" s="2">
        <v>12.023999999999999</v>
      </c>
      <c r="E22" s="2">
        <v>12.574999999999999</v>
      </c>
      <c r="F22" s="2">
        <v>12.84</v>
      </c>
      <c r="G22" s="2">
        <v>13.090999999999999</v>
      </c>
      <c r="H22" t="str">
        <f t="shared" si="0"/>
        <v>12.29±0.80</v>
      </c>
      <c r="J22" s="1" t="s">
        <v>7</v>
      </c>
      <c r="K22" s="2">
        <v>3.8340000000000001</v>
      </c>
      <c r="L22" s="2">
        <v>3.415</v>
      </c>
      <c r="M22" s="2">
        <v>3.7429999999999999</v>
      </c>
      <c r="N22" s="2">
        <v>3.9380000000000002</v>
      </c>
      <c r="O22" s="1">
        <v>4.0129999999999999</v>
      </c>
      <c r="P22" s="2">
        <v>4.0949999999999998</v>
      </c>
      <c r="Q22" t="str">
        <f t="shared" si="1"/>
        <v>3.84±0.26</v>
      </c>
    </row>
    <row r="23" spans="1:17" x14ac:dyDescent="0.25">
      <c r="A23" s="1" t="s">
        <v>8</v>
      </c>
      <c r="B23" s="4">
        <v>10.782999999999999</v>
      </c>
      <c r="C23" s="4">
        <v>9.4190000000000005</v>
      </c>
      <c r="D23" s="4">
        <v>9.4429999999999996</v>
      </c>
      <c r="E23" s="4">
        <v>10.375</v>
      </c>
      <c r="F23" s="4">
        <v>9.9269999999999996</v>
      </c>
      <c r="G23" s="4">
        <v>10.015000000000001</v>
      </c>
      <c r="H23" t="str">
        <f t="shared" si="0"/>
        <v>9.99±0.79</v>
      </c>
      <c r="I23" s="2"/>
      <c r="J23" s="1" t="s">
        <v>8</v>
      </c>
      <c r="K23" s="4">
        <v>3.4460000000000002</v>
      </c>
      <c r="L23" s="4">
        <v>2.9510000000000001</v>
      </c>
      <c r="M23" s="4">
        <v>3.0059999999999998</v>
      </c>
      <c r="N23" s="4">
        <v>3.3530000000000002</v>
      </c>
      <c r="O23" s="4">
        <v>3.2040000000000002</v>
      </c>
      <c r="P23" s="4">
        <v>3.24</v>
      </c>
      <c r="Q23" t="str">
        <f t="shared" si="1"/>
        <v>3.20±0.25</v>
      </c>
    </row>
  </sheetData>
  <mergeCells count="4">
    <mergeCell ref="A1:G1"/>
    <mergeCell ref="J1:P1"/>
    <mergeCell ref="A13:G13"/>
    <mergeCell ref="J13:P13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base</vt:lpstr>
      <vt:lpstr>extreme5%</vt:lpstr>
      <vt:lpstr>extreme10%</vt:lpstr>
      <vt:lpstr>extreme15%</vt:lpstr>
      <vt:lpstr>missing5%</vt:lpstr>
      <vt:lpstr>missing10%</vt:lpstr>
      <vt:lpstr>missing15%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梓蘅 王</cp:lastModifiedBy>
  <dcterms:created xsi:type="dcterms:W3CDTF">2023-05-12T11:15:00Z</dcterms:created>
  <dcterms:modified xsi:type="dcterms:W3CDTF">2026-05-26T08:50:04Z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