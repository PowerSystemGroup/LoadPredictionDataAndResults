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鲁棒性分析（Robustness Analysis）\Norway\"/>
    </mc:Choice>
  </mc:AlternateContent>
  <xr:revisionPtr revIDLastSave="0" documentId="13_ncr:1_{6315D317-BE55-49B2-990C-0371F9A7DC14}" xr6:coauthVersionLast="47" xr6:coauthVersionMax="47" xr10:uidLastSave="{00000000-0000-0000-0000-000000000000}"/>
  <bookViews>
    <workbookView xWindow="28680" yWindow="-120" windowWidth="29040" windowHeight="15840" activeTab="6" xr2:uid="{00000000-000D-0000-FFFF-FFFF00000000}"/>
  </bookViews>
  <sheets>
    <sheet name="base" sheetId="7" r:id="rId1"/>
    <sheet name="extreme5%" sheetId="1" r:id="rId2"/>
    <sheet name="extreme10%" sheetId="4" r:id="rId3"/>
    <sheet name="extreme15%" sheetId="5" r:id="rId4"/>
    <sheet name="missing5%" sheetId="6" r:id="rId5"/>
    <sheet name="missing10%" sheetId="2" r:id="rId6"/>
    <sheet name="missing15%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5" l="1"/>
  <c r="P5" i="5"/>
  <c r="P6" i="5"/>
  <c r="P7" i="5"/>
  <c r="P8" i="5"/>
  <c r="P9" i="5"/>
  <c r="P10" i="5"/>
  <c r="P11" i="5"/>
  <c r="P15" i="5"/>
  <c r="P16" i="5"/>
  <c r="P17" i="5"/>
  <c r="P18" i="5"/>
  <c r="P19" i="5"/>
  <c r="P20" i="5"/>
  <c r="P21" i="5"/>
  <c r="P22" i="5"/>
  <c r="P23" i="5"/>
  <c r="P4" i="6"/>
  <c r="P5" i="6"/>
  <c r="P6" i="6"/>
  <c r="P7" i="6"/>
  <c r="P8" i="6"/>
  <c r="P9" i="6"/>
  <c r="P10" i="6"/>
  <c r="P11" i="6"/>
  <c r="P15" i="6"/>
  <c r="P16" i="6"/>
  <c r="P17" i="6"/>
  <c r="P18" i="6"/>
  <c r="P19" i="6"/>
  <c r="P20" i="6"/>
  <c r="P21" i="6"/>
  <c r="P22" i="6"/>
  <c r="P23" i="6"/>
  <c r="P4" i="2"/>
  <c r="P5" i="2"/>
  <c r="P6" i="2"/>
  <c r="P7" i="2"/>
  <c r="P8" i="2"/>
  <c r="P9" i="2"/>
  <c r="P10" i="2"/>
  <c r="P11" i="2"/>
  <c r="P15" i="2"/>
  <c r="P16" i="2"/>
  <c r="P17" i="2"/>
  <c r="P18" i="2"/>
  <c r="P19" i="2"/>
  <c r="P20" i="2"/>
  <c r="P21" i="2"/>
  <c r="P22" i="2"/>
  <c r="P23" i="2"/>
  <c r="P4" i="3"/>
  <c r="P5" i="3"/>
  <c r="P6" i="3"/>
  <c r="P7" i="3"/>
  <c r="P8" i="3"/>
  <c r="P9" i="3"/>
  <c r="P10" i="3"/>
  <c r="P11" i="3"/>
  <c r="P15" i="3"/>
  <c r="P16" i="3"/>
  <c r="P17" i="3"/>
  <c r="P18" i="3"/>
  <c r="P19" i="3"/>
  <c r="P20" i="3"/>
  <c r="P21" i="3"/>
  <c r="P22" i="3"/>
  <c r="P23" i="3"/>
  <c r="P3" i="3"/>
  <c r="P3" i="2"/>
  <c r="P3" i="6"/>
  <c r="P3" i="5"/>
  <c r="P4" i="4"/>
  <c r="P5" i="4"/>
  <c r="P6" i="4"/>
  <c r="P7" i="4"/>
  <c r="P8" i="4"/>
  <c r="P9" i="4"/>
  <c r="P10" i="4"/>
  <c r="P11" i="4"/>
  <c r="P15" i="4"/>
  <c r="P16" i="4"/>
  <c r="P17" i="4"/>
  <c r="P18" i="4"/>
  <c r="P19" i="4"/>
  <c r="P20" i="4"/>
  <c r="P21" i="4"/>
  <c r="P22" i="4"/>
  <c r="P23" i="4"/>
  <c r="P3" i="4"/>
  <c r="P4" i="1"/>
  <c r="P5" i="1"/>
  <c r="P6" i="1"/>
  <c r="P7" i="1"/>
  <c r="P8" i="1"/>
  <c r="P9" i="1"/>
  <c r="P10" i="1"/>
  <c r="P11" i="1"/>
  <c r="P15" i="1"/>
  <c r="P16" i="1"/>
  <c r="P17" i="1"/>
  <c r="P18" i="1"/>
  <c r="P19" i="1"/>
  <c r="P20" i="1"/>
  <c r="P21" i="1"/>
  <c r="P22" i="1"/>
  <c r="P23" i="1"/>
  <c r="P3" i="1"/>
  <c r="H4" i="3"/>
  <c r="H5" i="3"/>
  <c r="H6" i="3"/>
  <c r="H7" i="3"/>
  <c r="H8" i="3"/>
  <c r="H9" i="3"/>
  <c r="H10" i="3"/>
  <c r="H11" i="3"/>
  <c r="H15" i="3"/>
  <c r="H16" i="3"/>
  <c r="H17" i="3"/>
  <c r="H18" i="3"/>
  <c r="H19" i="3"/>
  <c r="H20" i="3"/>
  <c r="H21" i="3"/>
  <c r="H22" i="3"/>
  <c r="H23" i="3"/>
  <c r="H3" i="3"/>
  <c r="H4" i="2"/>
  <c r="H5" i="2"/>
  <c r="H6" i="2"/>
  <c r="H7" i="2"/>
  <c r="H8" i="2"/>
  <c r="H9" i="2"/>
  <c r="H10" i="2"/>
  <c r="H11" i="2"/>
  <c r="H15" i="2"/>
  <c r="H16" i="2"/>
  <c r="H17" i="2"/>
  <c r="H18" i="2"/>
  <c r="H19" i="2"/>
  <c r="H20" i="2"/>
  <c r="H21" i="2"/>
  <c r="H22" i="2"/>
  <c r="H23" i="2"/>
  <c r="H3" i="2"/>
  <c r="H4" i="6"/>
  <c r="H5" i="6"/>
  <c r="H6" i="6"/>
  <c r="H7" i="6"/>
  <c r="H8" i="6"/>
  <c r="H9" i="6"/>
  <c r="H10" i="6"/>
  <c r="H11" i="6"/>
  <c r="H15" i="6"/>
  <c r="H16" i="6"/>
  <c r="H17" i="6"/>
  <c r="H18" i="6"/>
  <c r="H19" i="6"/>
  <c r="H20" i="6"/>
  <c r="H21" i="6"/>
  <c r="H22" i="6"/>
  <c r="H23" i="6"/>
  <c r="H3" i="6"/>
  <c r="H4" i="5"/>
  <c r="H5" i="5"/>
  <c r="H6" i="5"/>
  <c r="H7" i="5"/>
  <c r="H8" i="5"/>
  <c r="H9" i="5"/>
  <c r="H10" i="5"/>
  <c r="H11" i="5"/>
  <c r="H15" i="5"/>
  <c r="H16" i="5"/>
  <c r="H17" i="5"/>
  <c r="H18" i="5"/>
  <c r="H19" i="5"/>
  <c r="H20" i="5"/>
  <c r="H21" i="5"/>
  <c r="H22" i="5"/>
  <c r="H23" i="5"/>
  <c r="H3" i="5"/>
  <c r="H4" i="4"/>
  <c r="H5" i="4"/>
  <c r="H6" i="4"/>
  <c r="H7" i="4"/>
  <c r="H8" i="4"/>
  <c r="H9" i="4"/>
  <c r="H10" i="4"/>
  <c r="H11" i="4"/>
  <c r="H15" i="4"/>
  <c r="H16" i="4"/>
  <c r="H17" i="4"/>
  <c r="H18" i="4"/>
  <c r="H19" i="4"/>
  <c r="H20" i="4"/>
  <c r="H21" i="4"/>
  <c r="H22" i="4"/>
  <c r="H23" i="4"/>
  <c r="H3" i="4"/>
  <c r="H15" i="1"/>
  <c r="H4" i="1"/>
  <c r="H5" i="1"/>
  <c r="H6" i="1"/>
  <c r="H7" i="1"/>
  <c r="H8" i="1"/>
  <c r="H9" i="1"/>
  <c r="H10" i="1"/>
  <c r="H11" i="1"/>
  <c r="H16" i="1"/>
  <c r="H17" i="1"/>
  <c r="H18" i="1"/>
  <c r="H19" i="1"/>
  <c r="H20" i="1"/>
  <c r="H21" i="1"/>
  <c r="H22" i="1"/>
  <c r="H23" i="1"/>
  <c r="H3" i="1"/>
  <c r="H3" i="7"/>
  <c r="P16" i="7"/>
  <c r="P17" i="7"/>
  <c r="P18" i="7"/>
  <c r="P19" i="7"/>
  <c r="P20" i="7"/>
  <c r="P21" i="7"/>
  <c r="P22" i="7"/>
  <c r="P23" i="7"/>
  <c r="P24" i="7"/>
  <c r="P4" i="7"/>
  <c r="P5" i="7"/>
  <c r="P6" i="7"/>
  <c r="P7" i="7"/>
  <c r="P8" i="7"/>
  <c r="P9" i="7"/>
  <c r="P10" i="7"/>
  <c r="P11" i="7"/>
  <c r="P3" i="7"/>
  <c r="H16" i="7"/>
  <c r="H17" i="7"/>
  <c r="H18" i="7"/>
  <c r="H19" i="7"/>
  <c r="H20" i="7"/>
  <c r="H21" i="7"/>
  <c r="H22" i="7"/>
  <c r="H23" i="7"/>
  <c r="H24" i="7"/>
  <c r="H4" i="7"/>
  <c r="H5" i="7"/>
  <c r="H6" i="7"/>
  <c r="H7" i="7"/>
  <c r="H8" i="7"/>
  <c r="H9" i="7"/>
  <c r="H10" i="7"/>
  <c r="H11" i="7"/>
</calcChain>
</file>

<file path=xl/sharedStrings.xml><?xml version="1.0" encoding="utf-8"?>
<sst xmlns="http://schemas.openxmlformats.org/spreadsheetml/2006/main" count="308" uniqueCount="14">
  <si>
    <t>ARIMA</t>
    <phoneticPr fontId="3" type="noConversion"/>
  </si>
  <si>
    <t>LSTM</t>
    <phoneticPr fontId="3" type="noConversion"/>
  </si>
  <si>
    <t>GRU</t>
    <phoneticPr fontId="3" type="noConversion"/>
  </si>
  <si>
    <t>TFT</t>
    <phoneticPr fontId="3" type="noConversion"/>
  </si>
  <si>
    <t>Autoformer</t>
    <phoneticPr fontId="3" type="noConversion"/>
  </si>
  <si>
    <t>PatchTST</t>
    <phoneticPr fontId="3" type="noConversion"/>
  </si>
  <si>
    <t>Dlinear</t>
    <phoneticPr fontId="3" type="noConversion"/>
  </si>
  <si>
    <t>iTransformer</t>
    <phoneticPr fontId="3" type="noConversion"/>
  </si>
  <si>
    <t>DLE</t>
    <phoneticPr fontId="3" type="noConversion"/>
  </si>
  <si>
    <t>Parking Duration (SMAPE)</t>
    <phoneticPr fontId="1" type="noConversion"/>
  </si>
  <si>
    <t>Parking Duration (MAE)</t>
    <phoneticPr fontId="1" type="noConversion"/>
  </si>
  <si>
    <t>Charging Capacity (SMAPE)</t>
    <phoneticPr fontId="1" type="noConversion"/>
  </si>
  <si>
    <t>Charging Capacity (MAE)</t>
    <phoneticPr fontId="1" type="noConversion"/>
  </si>
  <si>
    <t>Training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</si>
</sst>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5FD1-CDE0-42DF-BD59-3117A86D579E}">
  <dimension ref="A1:P24"/>
  <sheetViews>
    <sheetView zoomScale="130" zoomScaleNormal="130" workbookViewId="0">
      <selection activeCell="H27" sqref="H27"/>
    </sheetView>
  </sheetViews>
  <sheetFormatPr defaultRowHeight="14.4" x14ac:dyDescent="0.25"/>
  <cols>
    <col min="1" max="1" width="19.21875" customWidth="1"/>
    <col min="8" max="8" width="16.44140625" customWidth="1"/>
    <col min="9" max="9" width="21.109375" customWidth="1"/>
    <col min="16" max="16" width="14.554687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27.728999999999999</v>
      </c>
      <c r="C3" s="2">
        <v>14.403</v>
      </c>
      <c r="D3" s="2">
        <v>18.021000000000001</v>
      </c>
      <c r="E3" s="2">
        <v>18.045000000000002</v>
      </c>
      <c r="F3" s="2">
        <v>13.451000000000001</v>
      </c>
      <c r="G3" s="2">
        <v>16.215</v>
      </c>
      <c r="H3" s="5" t="str">
        <f>TEXT(AVERAGE(B3:G3),"0.00")&amp;"±"&amp;TEXT((MAX(B3:G3)-AVERAGE(B3:G3)),"0.00")</f>
        <v>17.98±9.75</v>
      </c>
      <c r="I3" s="1" t="s">
        <v>0</v>
      </c>
      <c r="J3" s="2">
        <v>4.4610000000000003</v>
      </c>
      <c r="K3" s="2">
        <v>2.66</v>
      </c>
      <c r="L3" s="2">
        <v>3.8439999999999999</v>
      </c>
      <c r="M3" s="2">
        <v>3.8410000000000002</v>
      </c>
      <c r="N3" s="2">
        <v>2.492</v>
      </c>
      <c r="O3" s="2">
        <v>3.3170000000000002</v>
      </c>
      <c r="P3" t="str">
        <f>TEXT(AVERAGE(J3:O3),"0.00")&amp;"±"&amp;TEXT((MAX(J3:O3)-AVERAGE(J3:O3)),"0.00")</f>
        <v>3.44±1.03</v>
      </c>
    </row>
    <row r="4" spans="1:16" x14ac:dyDescent="0.25">
      <c r="A4" s="1" t="s">
        <v>1</v>
      </c>
      <c r="B4" s="2">
        <v>11.28</v>
      </c>
      <c r="C4" s="2">
        <v>11.076000000000001</v>
      </c>
      <c r="D4" s="2">
        <v>11.521000000000001</v>
      </c>
      <c r="E4" s="2">
        <v>11.465999999999999</v>
      </c>
      <c r="F4" s="2">
        <v>11.217000000000001</v>
      </c>
      <c r="G4" s="2">
        <v>11.763</v>
      </c>
      <c r="H4" s="5" t="str">
        <f t="shared" ref="H4:H24" si="0">TEXT(AVERAGE(B4:G4),"0.00")&amp;"±"&amp;TEXT((MAX(B4:G4)-AVERAGE(B4:G4)),"0.00")</f>
        <v>11.39±0.38</v>
      </c>
      <c r="I4" s="1" t="s">
        <v>1</v>
      </c>
      <c r="J4" s="2">
        <v>2.0790000000000002</v>
      </c>
      <c r="K4" s="2">
        <v>2.028</v>
      </c>
      <c r="L4" s="2">
        <v>2.133</v>
      </c>
      <c r="M4" s="2">
        <v>2.0819999999999999</v>
      </c>
      <c r="N4" s="2">
        <v>2.044</v>
      </c>
      <c r="O4" s="2">
        <v>2.129</v>
      </c>
      <c r="P4" t="str">
        <f t="shared" ref="P4:P24" si="1">TEXT(AVERAGE(J4:O4),"0.00")&amp;"±"&amp;TEXT((MAX(J4:O4)-AVERAGE(J4:O4)),"0.00")</f>
        <v>2.08±0.05</v>
      </c>
    </row>
    <row r="5" spans="1:16" x14ac:dyDescent="0.25">
      <c r="A5" s="1" t="s">
        <v>2</v>
      </c>
      <c r="B5" s="2">
        <v>11.430999999999999</v>
      </c>
      <c r="C5" s="2">
        <v>12.624000000000001</v>
      </c>
      <c r="D5" s="2">
        <v>11.544</v>
      </c>
      <c r="E5" s="2">
        <v>11.678000000000001</v>
      </c>
      <c r="F5" s="2">
        <v>11.365</v>
      </c>
      <c r="G5" s="2">
        <v>11.109</v>
      </c>
      <c r="H5" s="5" t="str">
        <f t="shared" si="0"/>
        <v>11.63±1.00</v>
      </c>
      <c r="I5" s="1" t="s">
        <v>2</v>
      </c>
      <c r="J5" s="2">
        <v>2.149</v>
      </c>
      <c r="K5" s="2">
        <v>2.4180000000000001</v>
      </c>
      <c r="L5" s="2">
        <v>2.14</v>
      </c>
      <c r="M5" s="2">
        <v>2.113</v>
      </c>
      <c r="N5" s="2">
        <v>2.0609999999999999</v>
      </c>
      <c r="O5" s="2">
        <v>2.0110000000000001</v>
      </c>
      <c r="P5" t="str">
        <f t="shared" si="1"/>
        <v>2.15±0.27</v>
      </c>
    </row>
    <row r="6" spans="1:16" x14ac:dyDescent="0.25">
      <c r="A6" s="1" t="s">
        <v>3</v>
      </c>
      <c r="B6" s="2">
        <v>11.025</v>
      </c>
      <c r="C6" s="2">
        <v>12.85</v>
      </c>
      <c r="D6" s="2">
        <v>12.18</v>
      </c>
      <c r="E6" s="2">
        <v>11.646000000000001</v>
      </c>
      <c r="F6" s="2">
        <v>12.259</v>
      </c>
      <c r="G6" s="2">
        <v>12.446999999999999</v>
      </c>
      <c r="H6" s="5" t="str">
        <f t="shared" si="0"/>
        <v>12.07±0.78</v>
      </c>
      <c r="I6" s="1" t="s">
        <v>3</v>
      </c>
      <c r="J6" s="2">
        <v>2.0129999999999999</v>
      </c>
      <c r="K6" s="2">
        <v>2.3079999999999998</v>
      </c>
      <c r="L6" s="2">
        <v>2.2389999999999999</v>
      </c>
      <c r="M6" s="2">
        <v>2.1419999999999999</v>
      </c>
      <c r="N6" s="2">
        <v>2.2480000000000002</v>
      </c>
      <c r="O6" s="2">
        <v>2.2570000000000001</v>
      </c>
      <c r="P6" t="str">
        <f t="shared" si="1"/>
        <v>2.20±0.11</v>
      </c>
    </row>
    <row r="7" spans="1:16" x14ac:dyDescent="0.25">
      <c r="A7" s="1" t="s">
        <v>4</v>
      </c>
      <c r="B7" s="2">
        <v>11.61</v>
      </c>
      <c r="C7" s="2">
        <v>11.112</v>
      </c>
      <c r="D7" s="2">
        <v>11.923999999999999</v>
      </c>
      <c r="E7" s="2">
        <v>11.795999999999999</v>
      </c>
      <c r="F7" s="2">
        <v>12.647</v>
      </c>
      <c r="G7" s="2">
        <v>12.643000000000001</v>
      </c>
      <c r="H7" s="5" t="str">
        <f t="shared" si="0"/>
        <v>11.96±0.69</v>
      </c>
      <c r="I7" s="1" t="s">
        <v>4</v>
      </c>
      <c r="J7" s="2">
        <v>2.1059999999999999</v>
      </c>
      <c r="K7" s="2">
        <v>2.0419999999999998</v>
      </c>
      <c r="L7" s="2">
        <v>2.1779999999999999</v>
      </c>
      <c r="M7" s="2">
        <v>2.1429999999999998</v>
      </c>
      <c r="N7" s="2">
        <v>2.3210000000000002</v>
      </c>
      <c r="O7" s="2">
        <v>2.3650000000000002</v>
      </c>
      <c r="P7" t="str">
        <f t="shared" si="1"/>
        <v>2.19±0.17</v>
      </c>
    </row>
    <row r="8" spans="1:16" x14ac:dyDescent="0.25">
      <c r="A8" s="1" t="s">
        <v>5</v>
      </c>
      <c r="B8" s="2">
        <v>11.606</v>
      </c>
      <c r="C8" s="2">
        <v>11.669</v>
      </c>
      <c r="D8" s="2">
        <v>13.239000000000001</v>
      </c>
      <c r="E8" s="2">
        <v>12.273</v>
      </c>
      <c r="F8" s="2">
        <v>11.46</v>
      </c>
      <c r="G8" s="2">
        <v>11.433999999999999</v>
      </c>
      <c r="H8" s="5" t="str">
        <f t="shared" si="0"/>
        <v>11.95±1.29</v>
      </c>
      <c r="I8" s="1" t="s">
        <v>5</v>
      </c>
      <c r="J8" s="2">
        <v>2.121</v>
      </c>
      <c r="K8" s="2">
        <v>2.1429999999999998</v>
      </c>
      <c r="L8" s="2">
        <v>2.4089999999999998</v>
      </c>
      <c r="M8" s="2">
        <v>2.242</v>
      </c>
      <c r="N8" s="2">
        <v>2.1019999999999999</v>
      </c>
      <c r="O8" s="2">
        <v>2.0779999999999998</v>
      </c>
      <c r="P8" t="str">
        <f t="shared" si="1"/>
        <v>2.18±0.23</v>
      </c>
    </row>
    <row r="9" spans="1:16" x14ac:dyDescent="0.25">
      <c r="A9" s="1" t="s">
        <v>6</v>
      </c>
      <c r="B9" s="2">
        <v>11.694000000000001</v>
      </c>
      <c r="C9" s="2">
        <v>10.285</v>
      </c>
      <c r="D9" s="2">
        <v>11.019</v>
      </c>
      <c r="E9" s="2">
        <v>10.994</v>
      </c>
      <c r="F9" s="2">
        <v>10.722</v>
      </c>
      <c r="G9" s="2">
        <v>10.804</v>
      </c>
      <c r="H9" s="5" t="str">
        <f t="shared" si="0"/>
        <v>10.92±0.77</v>
      </c>
      <c r="I9" s="1" t="s">
        <v>6</v>
      </c>
      <c r="J9" s="2">
        <v>2.101</v>
      </c>
      <c r="K9" s="2">
        <v>1.877</v>
      </c>
      <c r="L9" s="2">
        <v>2.0270000000000001</v>
      </c>
      <c r="M9" s="2">
        <v>2.0049999999999999</v>
      </c>
      <c r="N9" s="2">
        <v>1.9710000000000001</v>
      </c>
      <c r="O9" s="2">
        <v>1.9590000000000001</v>
      </c>
      <c r="P9" t="str">
        <f t="shared" si="1"/>
        <v>1.99±0.11</v>
      </c>
    </row>
    <row r="10" spans="1:16" x14ac:dyDescent="0.25">
      <c r="A10" s="1" t="s">
        <v>7</v>
      </c>
      <c r="B10" s="2">
        <v>10.85</v>
      </c>
      <c r="C10" s="2">
        <v>14.727</v>
      </c>
      <c r="D10" s="2">
        <v>11.173999999999999</v>
      </c>
      <c r="E10" s="2">
        <v>11.45</v>
      </c>
      <c r="F10" s="2">
        <v>10.804</v>
      </c>
      <c r="G10" s="2">
        <v>11.135999999999999</v>
      </c>
      <c r="H10" s="5" t="str">
        <f t="shared" si="0"/>
        <v>11.69±3.04</v>
      </c>
      <c r="I10" s="1" t="s">
        <v>7</v>
      </c>
      <c r="J10" s="2">
        <v>2.012</v>
      </c>
      <c r="K10" s="2">
        <v>2.6819999999999999</v>
      </c>
      <c r="L10" s="2">
        <v>2.069</v>
      </c>
      <c r="M10" s="2">
        <v>2.101</v>
      </c>
      <c r="N10" s="2">
        <v>1.9890000000000001</v>
      </c>
      <c r="O10" s="2">
        <v>2.0470000000000002</v>
      </c>
      <c r="P10" t="str">
        <f t="shared" si="1"/>
        <v>2.15±0.53</v>
      </c>
    </row>
    <row r="11" spans="1:16" x14ac:dyDescent="0.25">
      <c r="A11" s="1" t="s">
        <v>8</v>
      </c>
      <c r="B11" s="4">
        <v>10.371</v>
      </c>
      <c r="C11" s="4">
        <v>10.047000000000001</v>
      </c>
      <c r="D11" s="4">
        <v>10.036</v>
      </c>
      <c r="E11" s="4">
        <v>10.047000000000001</v>
      </c>
      <c r="F11" s="4">
        <v>10.08</v>
      </c>
      <c r="G11" s="4">
        <v>10.132</v>
      </c>
      <c r="H11" s="5" t="str">
        <f t="shared" si="0"/>
        <v>10.12±0.25</v>
      </c>
      <c r="I11" s="1" t="s">
        <v>8</v>
      </c>
      <c r="J11" s="4">
        <v>1.901</v>
      </c>
      <c r="K11" s="4">
        <v>1.839</v>
      </c>
      <c r="L11" s="4">
        <v>1.839</v>
      </c>
      <c r="M11" s="4">
        <v>1.835</v>
      </c>
      <c r="N11" s="4">
        <v>1.84</v>
      </c>
      <c r="O11" s="4">
        <v>1.847</v>
      </c>
      <c r="P11" t="str">
        <f t="shared" si="1"/>
        <v>1.85±0.05</v>
      </c>
    </row>
    <row r="12" spans="1:16" x14ac:dyDescent="0.25">
      <c r="A12" s="2"/>
      <c r="B12" s="2"/>
      <c r="C12" s="2"/>
      <c r="D12" s="2"/>
      <c r="E12" s="2"/>
      <c r="F12" s="2"/>
      <c r="G12" s="2"/>
      <c r="H12" s="5"/>
      <c r="I12" s="2"/>
      <c r="J12" s="2"/>
      <c r="K12" s="2"/>
      <c r="L12" s="2"/>
      <c r="M12" s="2"/>
      <c r="N12" s="2"/>
      <c r="O12" s="2"/>
    </row>
    <row r="13" spans="1:16" x14ac:dyDescent="0.25">
      <c r="A13" s="2"/>
      <c r="B13" s="2"/>
      <c r="C13" s="2"/>
      <c r="D13" s="2"/>
      <c r="E13" s="2"/>
      <c r="F13" s="2"/>
      <c r="G13" s="2"/>
      <c r="H13" s="5"/>
      <c r="I13" s="2"/>
      <c r="J13" s="2"/>
      <c r="K13" s="2"/>
      <c r="L13" s="2"/>
      <c r="M13" s="2"/>
      <c r="N13" s="2"/>
      <c r="O13" s="2"/>
    </row>
    <row r="14" spans="1:16" x14ac:dyDescent="0.25">
      <c r="A14" s="6" t="s">
        <v>11</v>
      </c>
      <c r="B14" s="6"/>
      <c r="C14" s="6"/>
      <c r="D14" s="6"/>
      <c r="E14" s="6"/>
      <c r="F14" s="6"/>
      <c r="G14" s="6"/>
      <c r="H14" s="5"/>
      <c r="I14" s="6" t="s">
        <v>12</v>
      </c>
      <c r="J14" s="6"/>
      <c r="K14" s="6"/>
      <c r="L14" s="6"/>
      <c r="M14" s="6"/>
      <c r="N14" s="6"/>
      <c r="O14" s="6"/>
    </row>
    <row r="15" spans="1:16" x14ac:dyDescent="0.25">
      <c r="A15" s="1" t="s">
        <v>13</v>
      </c>
      <c r="B15" s="2">
        <v>30</v>
      </c>
      <c r="C15" s="2">
        <v>60</v>
      </c>
      <c r="D15" s="2">
        <v>120</v>
      </c>
      <c r="E15" s="2">
        <v>240</v>
      </c>
      <c r="F15" s="2">
        <v>360</v>
      </c>
      <c r="G15" s="2">
        <v>480</v>
      </c>
      <c r="H15" s="5"/>
      <c r="I15" s="1" t="s">
        <v>13</v>
      </c>
      <c r="J15" s="2">
        <v>30</v>
      </c>
      <c r="K15" s="2">
        <v>60</v>
      </c>
      <c r="L15" s="2">
        <v>120</v>
      </c>
      <c r="M15" s="2">
        <v>240</v>
      </c>
      <c r="N15" s="2">
        <v>360</v>
      </c>
      <c r="O15" s="2">
        <v>480</v>
      </c>
    </row>
    <row r="16" spans="1:16" x14ac:dyDescent="0.25">
      <c r="A16" s="1" t="s">
        <v>0</v>
      </c>
      <c r="B16" s="2">
        <v>20.045000000000002</v>
      </c>
      <c r="C16" s="2">
        <v>52.686</v>
      </c>
      <c r="D16" s="2">
        <v>50.847999999999999</v>
      </c>
      <c r="E16" s="2">
        <v>33.956000000000003</v>
      </c>
      <c r="F16" s="2">
        <v>49.959000000000003</v>
      </c>
      <c r="G16" s="2">
        <v>46.655999999999999</v>
      </c>
      <c r="H16" s="5" t="str">
        <f t="shared" si="0"/>
        <v>42.36±10.33</v>
      </c>
      <c r="I16" s="1" t="s">
        <v>0</v>
      </c>
      <c r="J16" s="2">
        <v>4.8419999999999996</v>
      </c>
      <c r="K16" s="2">
        <v>7.8419999999999996</v>
      </c>
      <c r="L16" s="2">
        <v>26.902999999999999</v>
      </c>
      <c r="M16" s="2">
        <v>12.518000000000001</v>
      </c>
      <c r="N16" s="2">
        <v>25.02</v>
      </c>
      <c r="O16" s="2">
        <v>21.997</v>
      </c>
      <c r="P16" t="str">
        <f t="shared" si="1"/>
        <v>16.52±10.38</v>
      </c>
    </row>
    <row r="17" spans="1:16" x14ac:dyDescent="0.25">
      <c r="A17" s="1" t="s">
        <v>1</v>
      </c>
      <c r="B17" s="2">
        <v>11.693</v>
      </c>
      <c r="C17" s="2">
        <v>10.775</v>
      </c>
      <c r="D17" s="2">
        <v>11.634</v>
      </c>
      <c r="E17" s="2">
        <v>9.8870000000000005</v>
      </c>
      <c r="F17" s="2">
        <v>9.1270000000000007</v>
      </c>
      <c r="G17" s="2">
        <v>8.1080000000000005</v>
      </c>
      <c r="H17" s="5" t="str">
        <f t="shared" si="0"/>
        <v>10.20±1.49</v>
      </c>
      <c r="I17" s="1" t="s">
        <v>1</v>
      </c>
      <c r="J17" s="2">
        <v>2.8849999999999998</v>
      </c>
      <c r="K17" s="2">
        <v>2.7050000000000001</v>
      </c>
      <c r="L17" s="2">
        <v>2.8919999999999999</v>
      </c>
      <c r="M17" s="2">
        <v>2.5630000000000002</v>
      </c>
      <c r="N17" s="2">
        <v>2.278</v>
      </c>
      <c r="O17" s="2">
        <v>2.0179999999999998</v>
      </c>
      <c r="P17" t="str">
        <f t="shared" si="1"/>
        <v>2.56±0.34</v>
      </c>
    </row>
    <row r="18" spans="1:16" x14ac:dyDescent="0.25">
      <c r="A18" s="1" t="s">
        <v>2</v>
      </c>
      <c r="B18" s="2">
        <v>9.8819999999999997</v>
      </c>
      <c r="C18" s="2">
        <v>15.007999999999999</v>
      </c>
      <c r="D18" s="2">
        <v>9.3829999999999991</v>
      </c>
      <c r="E18" s="2">
        <v>13.122</v>
      </c>
      <c r="F18" s="2">
        <v>9.1660000000000004</v>
      </c>
      <c r="G18" s="2">
        <v>8.343</v>
      </c>
      <c r="H18" s="5" t="str">
        <f t="shared" si="0"/>
        <v>10.82±4.19</v>
      </c>
      <c r="I18" s="1" t="s">
        <v>2</v>
      </c>
      <c r="J18" s="2">
        <v>2.4249999999999998</v>
      </c>
      <c r="K18" s="2">
        <v>3.7440000000000002</v>
      </c>
      <c r="L18" s="2">
        <v>2.3660000000000001</v>
      </c>
      <c r="M18" s="2">
        <v>2.9169999999999998</v>
      </c>
      <c r="N18" s="2">
        <v>2.181</v>
      </c>
      <c r="O18" s="2">
        <v>2.11</v>
      </c>
      <c r="P18" t="str">
        <f t="shared" si="1"/>
        <v>2.62±1.12</v>
      </c>
    </row>
    <row r="19" spans="1:16" x14ac:dyDescent="0.25">
      <c r="A19" s="1" t="s">
        <v>3</v>
      </c>
      <c r="B19" s="2">
        <v>9.6430000000000007</v>
      </c>
      <c r="C19" s="2">
        <v>9.4269999999999996</v>
      </c>
      <c r="D19" s="2">
        <v>17.863</v>
      </c>
      <c r="E19" s="2">
        <v>9.2929999999999993</v>
      </c>
      <c r="F19" s="2">
        <v>8.6869999999999994</v>
      </c>
      <c r="G19" s="2">
        <v>8.3800000000000008</v>
      </c>
      <c r="H19" s="5" t="str">
        <f t="shared" si="0"/>
        <v>10.55±7.31</v>
      </c>
      <c r="I19" s="1" t="s">
        <v>3</v>
      </c>
      <c r="J19" s="2">
        <v>2.38</v>
      </c>
      <c r="K19" s="2">
        <v>2.2170000000000001</v>
      </c>
      <c r="L19" s="2">
        <v>3.6890000000000001</v>
      </c>
      <c r="M19" s="2">
        <v>2.21</v>
      </c>
      <c r="N19" s="2">
        <v>2.1219999999999999</v>
      </c>
      <c r="O19" s="2">
        <v>2.0630000000000002</v>
      </c>
      <c r="P19" t="str">
        <f t="shared" si="1"/>
        <v>2.45±1.24</v>
      </c>
    </row>
    <row r="20" spans="1:16" x14ac:dyDescent="0.25">
      <c r="A20" s="1" t="s">
        <v>4</v>
      </c>
      <c r="B20" s="2">
        <v>44.404000000000003</v>
      </c>
      <c r="C20" s="2">
        <v>56.320999999999998</v>
      </c>
      <c r="D20" s="2">
        <v>16.983000000000001</v>
      </c>
      <c r="E20" s="2">
        <v>40.482999999999997</v>
      </c>
      <c r="F20" s="2">
        <v>29.564</v>
      </c>
      <c r="G20" s="2">
        <v>30.053000000000001</v>
      </c>
      <c r="H20" s="5" t="str">
        <f t="shared" si="0"/>
        <v>36.30±20.02</v>
      </c>
      <c r="I20" s="1" t="s">
        <v>4</v>
      </c>
      <c r="J20" s="2">
        <v>8.2590000000000003</v>
      </c>
      <c r="K20" s="2">
        <v>9.4</v>
      </c>
      <c r="L20" s="2">
        <v>4.407</v>
      </c>
      <c r="M20" s="2">
        <v>7.6680000000000001</v>
      </c>
      <c r="N20" s="2">
        <v>6.1959999999999997</v>
      </c>
      <c r="O20" s="2">
        <v>6.4050000000000002</v>
      </c>
      <c r="P20" t="str">
        <f t="shared" si="1"/>
        <v>7.06±2.34</v>
      </c>
    </row>
    <row r="21" spans="1:16" x14ac:dyDescent="0.25">
      <c r="A21" s="1" t="s">
        <v>5</v>
      </c>
      <c r="B21" s="2">
        <v>16.835999999999999</v>
      </c>
      <c r="C21" s="2">
        <v>22.73</v>
      </c>
      <c r="D21" s="2">
        <v>10.875</v>
      </c>
      <c r="E21" s="2">
        <v>10.864000000000001</v>
      </c>
      <c r="F21" s="2">
        <v>10.638999999999999</v>
      </c>
      <c r="G21" s="2">
        <v>13.087999999999999</v>
      </c>
      <c r="H21" s="5" t="str">
        <f t="shared" si="0"/>
        <v>14.17±8.56</v>
      </c>
      <c r="I21" s="1" t="s">
        <v>5</v>
      </c>
      <c r="J21" s="2">
        <v>3.9009999999999998</v>
      </c>
      <c r="K21" s="2">
        <v>4.9960000000000004</v>
      </c>
      <c r="L21" s="2">
        <v>2.8380000000000001</v>
      </c>
      <c r="M21" s="2">
        <v>2.641</v>
      </c>
      <c r="N21" s="2">
        <v>2.8079999999999998</v>
      </c>
      <c r="O21" s="2">
        <v>2.9740000000000002</v>
      </c>
      <c r="P21" t="str">
        <f t="shared" si="1"/>
        <v>3.36±1.64</v>
      </c>
    </row>
    <row r="22" spans="1:16" x14ac:dyDescent="0.25">
      <c r="A22" s="1" t="s">
        <v>6</v>
      </c>
      <c r="B22" s="2">
        <v>92.548000000000002</v>
      </c>
      <c r="C22" s="2">
        <v>98.927000000000007</v>
      </c>
      <c r="D22" s="2">
        <v>15.941000000000001</v>
      </c>
      <c r="E22" s="2">
        <v>20.812000000000001</v>
      </c>
      <c r="F22" s="2">
        <v>23.937000000000001</v>
      </c>
      <c r="G22" s="2">
        <v>22.004000000000001</v>
      </c>
      <c r="H22" s="5" t="str">
        <f t="shared" si="0"/>
        <v>45.69±53.23</v>
      </c>
      <c r="I22" s="1" t="s">
        <v>6</v>
      </c>
      <c r="J22" s="2">
        <v>12.285</v>
      </c>
      <c r="K22" s="2">
        <v>12.97</v>
      </c>
      <c r="L22" s="2">
        <v>4.532</v>
      </c>
      <c r="M22" s="2">
        <v>5.35</v>
      </c>
      <c r="N22" s="2">
        <v>7.9420000000000002</v>
      </c>
      <c r="O22" s="2">
        <v>6.9359999999999999</v>
      </c>
      <c r="P22" t="str">
        <f t="shared" si="1"/>
        <v>8.34±4.63</v>
      </c>
    </row>
    <row r="23" spans="1:16" x14ac:dyDescent="0.25">
      <c r="A23" s="1" t="s">
        <v>7</v>
      </c>
      <c r="B23" s="2">
        <v>22.771000000000001</v>
      </c>
      <c r="C23" s="2">
        <v>16.489999999999998</v>
      </c>
      <c r="D23" s="2">
        <v>26.303000000000001</v>
      </c>
      <c r="E23" s="2">
        <v>11.018000000000001</v>
      </c>
      <c r="F23" s="2">
        <v>12.648</v>
      </c>
      <c r="G23" s="2">
        <v>9.7189999999999994</v>
      </c>
      <c r="H23" s="5" t="str">
        <f t="shared" si="0"/>
        <v>16.49±9.81</v>
      </c>
      <c r="I23" s="1" t="s">
        <v>7</v>
      </c>
      <c r="J23" s="2">
        <v>5.069</v>
      </c>
      <c r="K23" s="2">
        <v>4.0449999999999999</v>
      </c>
      <c r="L23" s="2">
        <v>8.9849999999999994</v>
      </c>
      <c r="M23" s="2">
        <v>2.8149999999999999</v>
      </c>
      <c r="N23" s="2">
        <v>3.105</v>
      </c>
      <c r="O23" s="2">
        <v>2.5990000000000002</v>
      </c>
      <c r="P23" t="str">
        <f t="shared" si="1"/>
        <v>4.44±4.55</v>
      </c>
    </row>
    <row r="24" spans="1:16" x14ac:dyDescent="0.25">
      <c r="A24" s="1" t="s">
        <v>8</v>
      </c>
      <c r="B24" s="4">
        <v>8.1829999999999998</v>
      </c>
      <c r="C24" s="4">
        <v>8.5860000000000003</v>
      </c>
      <c r="D24" s="4">
        <v>8.9309999999999992</v>
      </c>
      <c r="E24" s="4">
        <v>8.7230000000000008</v>
      </c>
      <c r="F24" s="4">
        <v>8.5549999999999997</v>
      </c>
      <c r="G24" s="4">
        <v>8.0719999999999992</v>
      </c>
      <c r="H24" s="5" t="str">
        <f t="shared" si="0"/>
        <v>8.51±0.42</v>
      </c>
      <c r="I24" s="1" t="s">
        <v>8</v>
      </c>
      <c r="J24" s="4">
        <v>1.9910000000000001</v>
      </c>
      <c r="K24" s="4">
        <v>2.1160000000000001</v>
      </c>
      <c r="L24" s="4">
        <v>2.1709999999999998</v>
      </c>
      <c r="M24" s="4">
        <v>2.1549999999999998</v>
      </c>
      <c r="N24" s="4">
        <v>2.1059999999999999</v>
      </c>
      <c r="O24" s="4">
        <v>1.964</v>
      </c>
      <c r="P24" t="str">
        <f t="shared" si="1"/>
        <v>2.08±0.09</v>
      </c>
    </row>
  </sheetData>
  <mergeCells count="4">
    <mergeCell ref="A1:G1"/>
    <mergeCell ref="A14:G14"/>
    <mergeCell ref="I1:O1"/>
    <mergeCell ref="I14:O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zoomScale="130" zoomScaleNormal="130" workbookViewId="0">
      <selection activeCell="F27" sqref="F27"/>
    </sheetView>
  </sheetViews>
  <sheetFormatPr defaultColWidth="9" defaultRowHeight="14.4" x14ac:dyDescent="0.25"/>
  <cols>
    <col min="1" max="1" width="19.5546875" customWidth="1"/>
    <col min="8" max="8" width="17.21875" customWidth="1"/>
    <col min="9" max="9" width="18.21875" customWidth="1"/>
    <col min="16" max="16" width="14.4414062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24.303000000000001</v>
      </c>
      <c r="C3" s="2">
        <v>13.493</v>
      </c>
      <c r="D3" s="2">
        <v>12.411</v>
      </c>
      <c r="E3" s="2">
        <v>18.777000000000001</v>
      </c>
      <c r="F3" s="1">
        <v>12.587999999999999</v>
      </c>
      <c r="G3" s="2">
        <v>23.882999999999999</v>
      </c>
      <c r="H3" t="str">
        <f>TEXT(AVERAGE(B3:G3),"0.00")&amp;"±"&amp;TEXT((MAX(B3:G3)-AVERAGE(B3:G3)),"0.00")</f>
        <v>17.58±6.73</v>
      </c>
      <c r="I3" s="1" t="s">
        <v>0</v>
      </c>
      <c r="J3" s="2">
        <v>4.0679999999999996</v>
      </c>
      <c r="K3" s="2">
        <v>2.589</v>
      </c>
      <c r="L3" s="2">
        <v>2.3170000000000002</v>
      </c>
      <c r="M3" s="2">
        <v>4.0510000000000002</v>
      </c>
      <c r="N3" s="2">
        <v>2.3359999999999999</v>
      </c>
      <c r="O3" s="2">
        <v>4.056</v>
      </c>
      <c r="P3" t="str">
        <f>TEXT(AVERAGE(J3:O3),"0.00")&amp;"±"&amp;TEXT((MAX(J3:O3)-AVERAGE(J3:O3)),"0.00")</f>
        <v>3.24±0.83</v>
      </c>
    </row>
    <row r="4" spans="1:16" x14ac:dyDescent="0.25">
      <c r="A4" s="1" t="s">
        <v>1</v>
      </c>
      <c r="B4" s="2">
        <v>11.287000000000001</v>
      </c>
      <c r="C4" s="2">
        <v>12.052</v>
      </c>
      <c r="D4" s="2">
        <v>11.786</v>
      </c>
      <c r="E4" s="2">
        <v>11.162000000000001</v>
      </c>
      <c r="F4" s="2">
        <v>11.678000000000001</v>
      </c>
      <c r="G4" s="2">
        <v>11.257</v>
      </c>
      <c r="H4" t="str">
        <f t="shared" ref="H4:H23" si="0">TEXT(AVERAGE(B4:G4),"0.00")&amp;"±"&amp;TEXT((MAX(B4:G4)-AVERAGE(B4:G4)),"0.00")</f>
        <v>11.54±0.51</v>
      </c>
      <c r="I4" s="1" t="s">
        <v>1</v>
      </c>
      <c r="J4" s="2">
        <v>2.0960000000000001</v>
      </c>
      <c r="K4" s="2">
        <v>2.2170000000000001</v>
      </c>
      <c r="L4" s="2">
        <v>2.2320000000000002</v>
      </c>
      <c r="M4" s="2">
        <v>2.0640000000000001</v>
      </c>
      <c r="N4" s="2">
        <v>2.173</v>
      </c>
      <c r="O4" s="2">
        <v>2.09</v>
      </c>
      <c r="P4" t="str">
        <f t="shared" ref="P4:P23" si="1">TEXT(AVERAGE(J4:O4),"0.00")&amp;"±"&amp;TEXT((MAX(J4:O4)-AVERAGE(J4:O4)),"0.00")</f>
        <v>2.15±0.09</v>
      </c>
    </row>
    <row r="5" spans="1:16" x14ac:dyDescent="0.25">
      <c r="A5" s="1" t="s">
        <v>2</v>
      </c>
      <c r="B5" s="2">
        <v>11.723000000000001</v>
      </c>
      <c r="C5" s="2">
        <v>11.217000000000001</v>
      </c>
      <c r="D5" s="2">
        <v>11.489000000000001</v>
      </c>
      <c r="E5" s="2">
        <v>11.41</v>
      </c>
      <c r="F5" s="2">
        <v>11.765000000000001</v>
      </c>
      <c r="G5" s="2">
        <v>11.343999999999999</v>
      </c>
      <c r="H5" t="str">
        <f t="shared" si="0"/>
        <v>11.49±0.27</v>
      </c>
      <c r="I5" s="1" t="s">
        <v>2</v>
      </c>
      <c r="J5" s="2">
        <v>2.2530000000000001</v>
      </c>
      <c r="K5" s="2">
        <v>2.0670000000000002</v>
      </c>
      <c r="L5" s="2">
        <v>2.1589999999999998</v>
      </c>
      <c r="M5" s="2">
        <v>2.1269999999999998</v>
      </c>
      <c r="N5" s="2">
        <v>2.2120000000000002</v>
      </c>
      <c r="O5" s="2">
        <v>2.0950000000000002</v>
      </c>
      <c r="P5" t="str">
        <f t="shared" si="1"/>
        <v>2.15±0.10</v>
      </c>
    </row>
    <row r="6" spans="1:16" x14ac:dyDescent="0.25">
      <c r="A6" s="1" t="s">
        <v>3</v>
      </c>
      <c r="B6" s="3">
        <v>11.340999999999999</v>
      </c>
      <c r="C6" s="2">
        <v>12.143000000000001</v>
      </c>
      <c r="D6" s="2">
        <v>12.2</v>
      </c>
      <c r="E6" s="2">
        <v>12.026</v>
      </c>
      <c r="F6" s="2">
        <v>11.984999999999999</v>
      </c>
      <c r="G6" s="2">
        <v>11.997999999999999</v>
      </c>
      <c r="H6" t="str">
        <f t="shared" si="0"/>
        <v>11.95±0.25</v>
      </c>
      <c r="I6" s="1" t="s">
        <v>3</v>
      </c>
      <c r="J6" s="3">
        <v>2.1240000000000001</v>
      </c>
      <c r="K6" s="2">
        <v>2.262</v>
      </c>
      <c r="L6" s="2">
        <v>2.3180000000000001</v>
      </c>
      <c r="M6" s="2">
        <v>2.2570000000000001</v>
      </c>
      <c r="N6" s="1">
        <v>2.2090000000000001</v>
      </c>
      <c r="O6" s="2">
        <v>2.2530000000000001</v>
      </c>
      <c r="P6" t="str">
        <f t="shared" si="1"/>
        <v>2.24±0.08</v>
      </c>
    </row>
    <row r="7" spans="1:16" x14ac:dyDescent="0.25">
      <c r="A7" s="1" t="s">
        <v>4</v>
      </c>
      <c r="B7" s="2">
        <v>11.912000000000001</v>
      </c>
      <c r="C7" s="2">
        <v>11.667</v>
      </c>
      <c r="D7" s="2">
        <v>12.265000000000001</v>
      </c>
      <c r="E7" s="2">
        <v>12.329000000000001</v>
      </c>
      <c r="F7" s="2">
        <v>11.927</v>
      </c>
      <c r="G7" s="2">
        <v>13.212</v>
      </c>
      <c r="H7" t="str">
        <f t="shared" si="0"/>
        <v>12.22±0.99</v>
      </c>
      <c r="I7" s="1" t="s">
        <v>4</v>
      </c>
      <c r="J7" s="2">
        <v>2.2639999999999998</v>
      </c>
      <c r="K7" s="2">
        <v>2.2010000000000001</v>
      </c>
      <c r="L7" s="2">
        <v>2.2839999999999998</v>
      </c>
      <c r="M7" s="2">
        <v>2.3359999999999999</v>
      </c>
      <c r="N7" s="1">
        <v>2.2269999999999999</v>
      </c>
      <c r="O7" s="2">
        <v>2.5310000000000001</v>
      </c>
      <c r="P7" t="str">
        <f t="shared" si="1"/>
        <v>2.31±0.22</v>
      </c>
    </row>
    <row r="8" spans="1:16" x14ac:dyDescent="0.25">
      <c r="A8" s="1" t="s">
        <v>5</v>
      </c>
      <c r="B8" s="2">
        <v>11.505000000000001</v>
      </c>
      <c r="C8" s="2">
        <v>11.975</v>
      </c>
      <c r="D8" s="2">
        <v>12.303000000000001</v>
      </c>
      <c r="E8" s="2">
        <v>11.433</v>
      </c>
      <c r="F8" s="2">
        <v>11.898</v>
      </c>
      <c r="G8" s="2">
        <v>11.502000000000001</v>
      </c>
      <c r="H8" t="str">
        <f t="shared" si="0"/>
        <v>11.77±0.53</v>
      </c>
      <c r="I8" s="1" t="s">
        <v>5</v>
      </c>
      <c r="J8" s="2">
        <v>2.1269999999999998</v>
      </c>
      <c r="K8" s="2">
        <v>2.262</v>
      </c>
      <c r="L8" s="2">
        <v>2.3330000000000002</v>
      </c>
      <c r="M8" s="2">
        <v>2.121</v>
      </c>
      <c r="N8" s="1">
        <v>2.246</v>
      </c>
      <c r="O8" s="2">
        <v>2.149</v>
      </c>
      <c r="P8" t="str">
        <f t="shared" si="1"/>
        <v>2.21±0.13</v>
      </c>
    </row>
    <row r="9" spans="1:16" x14ac:dyDescent="0.25">
      <c r="A9" s="1" t="s">
        <v>6</v>
      </c>
      <c r="B9" s="2">
        <v>11.211</v>
      </c>
      <c r="C9" s="2">
        <v>10.759</v>
      </c>
      <c r="D9" s="2">
        <v>11.228</v>
      </c>
      <c r="E9" s="2">
        <v>10.927</v>
      </c>
      <c r="F9" s="2">
        <v>11.124000000000001</v>
      </c>
      <c r="G9" s="2">
        <v>10.632999999999999</v>
      </c>
      <c r="H9" t="str">
        <f t="shared" si="0"/>
        <v>10.98±0.25</v>
      </c>
      <c r="I9" s="1" t="s">
        <v>6</v>
      </c>
      <c r="J9" s="2">
        <v>2.0680000000000001</v>
      </c>
      <c r="K9" s="2">
        <v>1.9610000000000001</v>
      </c>
      <c r="L9" s="2">
        <v>2.0790000000000002</v>
      </c>
      <c r="M9" s="2">
        <v>2.0030000000000001</v>
      </c>
      <c r="N9" s="1">
        <v>2.0760000000000001</v>
      </c>
      <c r="O9" s="2">
        <v>1.944</v>
      </c>
      <c r="P9" t="str">
        <f t="shared" si="1"/>
        <v>2.02±0.06</v>
      </c>
    </row>
    <row r="10" spans="1:16" x14ac:dyDescent="0.25">
      <c r="A10" s="1" t="s">
        <v>7</v>
      </c>
      <c r="B10" s="2">
        <v>11.868</v>
      </c>
      <c r="C10" s="2">
        <v>13.064</v>
      </c>
      <c r="D10" s="2">
        <v>11.01</v>
      </c>
      <c r="E10" s="2">
        <v>10.59</v>
      </c>
      <c r="F10" s="2">
        <v>11.052</v>
      </c>
      <c r="G10" s="2">
        <v>10.826000000000001</v>
      </c>
      <c r="H10" t="str">
        <f t="shared" si="0"/>
        <v>11.40±1.66</v>
      </c>
      <c r="I10" s="1" t="s">
        <v>7</v>
      </c>
      <c r="J10" s="2">
        <v>2.2650000000000001</v>
      </c>
      <c r="K10" s="2">
        <v>2.359</v>
      </c>
      <c r="L10" s="2">
        <v>2.0310000000000001</v>
      </c>
      <c r="M10" s="2">
        <v>1.9430000000000001</v>
      </c>
      <c r="N10" s="1">
        <v>2.0430000000000001</v>
      </c>
      <c r="O10" s="2">
        <v>2.0070000000000001</v>
      </c>
      <c r="P10" t="str">
        <f t="shared" si="1"/>
        <v>2.11±0.25</v>
      </c>
    </row>
    <row r="11" spans="1:16" x14ac:dyDescent="0.25">
      <c r="A11" s="1" t="s">
        <v>8</v>
      </c>
      <c r="B11" s="4">
        <v>10.387</v>
      </c>
      <c r="C11" s="4">
        <v>9.9670000000000005</v>
      </c>
      <c r="D11" s="4">
        <v>9.85</v>
      </c>
      <c r="E11" s="4">
        <v>9.952</v>
      </c>
      <c r="F11" s="4">
        <v>9.9909999999999997</v>
      </c>
      <c r="G11" s="4">
        <v>9.8480000000000008</v>
      </c>
      <c r="H11" t="str">
        <f t="shared" si="0"/>
        <v>10.00±0.39</v>
      </c>
      <c r="I11" s="1" t="s">
        <v>8</v>
      </c>
      <c r="J11" s="4">
        <v>1.9239999999999999</v>
      </c>
      <c r="K11" s="4">
        <v>1.829</v>
      </c>
      <c r="L11" s="4">
        <v>1.804</v>
      </c>
      <c r="M11" s="4">
        <v>1.82</v>
      </c>
      <c r="N11" s="4">
        <v>1.825</v>
      </c>
      <c r="O11" s="4">
        <v>1.7929999999999999</v>
      </c>
      <c r="P11" t="str">
        <f t="shared" si="1"/>
        <v>1.83±0.09</v>
      </c>
    </row>
    <row r="12" spans="1:16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1"/>
      <c r="O12" s="2"/>
    </row>
    <row r="13" spans="1:16" x14ac:dyDescent="0.25">
      <c r="A13" s="6" t="s">
        <v>11</v>
      </c>
      <c r="B13" s="6"/>
      <c r="C13" s="6"/>
      <c r="D13" s="6"/>
      <c r="E13" s="6"/>
      <c r="F13" s="6"/>
      <c r="G13" s="6"/>
      <c r="H13" s="5"/>
      <c r="I13" s="6" t="s">
        <v>12</v>
      </c>
      <c r="J13" s="6"/>
      <c r="K13" s="6"/>
      <c r="L13" s="6"/>
      <c r="M13" s="6"/>
      <c r="N13" s="6"/>
      <c r="O13" s="6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5"/>
      <c r="I14" s="1" t="s">
        <v>13</v>
      </c>
      <c r="J14" s="2">
        <v>30</v>
      </c>
      <c r="K14" s="2">
        <v>60</v>
      </c>
      <c r="L14" s="2">
        <v>120</v>
      </c>
      <c r="M14" s="2">
        <v>240</v>
      </c>
      <c r="N14" s="2">
        <v>360</v>
      </c>
      <c r="O14" s="2">
        <v>480</v>
      </c>
    </row>
    <row r="15" spans="1:16" x14ac:dyDescent="0.25">
      <c r="A15" s="1" t="s">
        <v>0</v>
      </c>
      <c r="B15" s="2">
        <v>14.709</v>
      </c>
      <c r="C15" s="2">
        <v>51.107999999999997</v>
      </c>
      <c r="D15" s="2">
        <v>66.629000000000005</v>
      </c>
      <c r="E15" s="2">
        <v>61.213000000000001</v>
      </c>
      <c r="F15" s="2">
        <v>26.733000000000001</v>
      </c>
      <c r="G15" s="2">
        <v>11.395</v>
      </c>
      <c r="H15" t="str">
        <f t="shared" si="0"/>
        <v>38.63±28.00</v>
      </c>
      <c r="I15" s="1" t="s">
        <v>0</v>
      </c>
      <c r="J15" s="2">
        <v>3.79</v>
      </c>
      <c r="K15" s="2">
        <v>27.724</v>
      </c>
      <c r="L15" s="2">
        <v>54.332000000000001</v>
      </c>
      <c r="M15" s="2">
        <v>41.029000000000003</v>
      </c>
      <c r="N15" s="2">
        <v>8.593</v>
      </c>
      <c r="O15" s="2">
        <v>2.9180000000000001</v>
      </c>
      <c r="P15" t="str">
        <f t="shared" si="1"/>
        <v>23.06±31.27</v>
      </c>
    </row>
    <row r="16" spans="1:16" x14ac:dyDescent="0.25">
      <c r="A16" s="1" t="s">
        <v>1</v>
      </c>
      <c r="B16" s="2">
        <v>9.6430000000000007</v>
      </c>
      <c r="C16" s="2">
        <v>9.5969999999999995</v>
      </c>
      <c r="D16" s="2">
        <v>9.9619999999999997</v>
      </c>
      <c r="E16" s="2">
        <v>8.5340000000000007</v>
      </c>
      <c r="F16" s="2">
        <v>8.6150000000000002</v>
      </c>
      <c r="G16" s="2">
        <v>8.5</v>
      </c>
      <c r="H16" t="str">
        <f t="shared" si="0"/>
        <v>9.14±0.82</v>
      </c>
      <c r="I16" s="1" t="s">
        <v>1</v>
      </c>
      <c r="J16" s="2">
        <v>2.415</v>
      </c>
      <c r="K16" s="2">
        <v>2.3719999999999999</v>
      </c>
      <c r="L16" s="2">
        <v>2.5019999999999998</v>
      </c>
      <c r="M16" s="2">
        <v>2.1230000000000002</v>
      </c>
      <c r="N16" s="2">
        <v>2.153</v>
      </c>
      <c r="O16" s="2">
        <v>2.1190000000000002</v>
      </c>
      <c r="P16" t="str">
        <f t="shared" si="1"/>
        <v>2.28±0.22</v>
      </c>
    </row>
    <row r="17" spans="1:16" x14ac:dyDescent="0.25">
      <c r="A17" s="1" t="s">
        <v>2</v>
      </c>
      <c r="B17" s="2">
        <v>9.7729999999999997</v>
      </c>
      <c r="C17" s="2">
        <v>11.387</v>
      </c>
      <c r="D17" s="2">
        <v>9.6159999999999997</v>
      </c>
      <c r="E17" s="2">
        <v>9.2929999999999993</v>
      </c>
      <c r="F17" s="2">
        <v>8.8849999999999998</v>
      </c>
      <c r="G17" s="2">
        <v>8.7650000000000006</v>
      </c>
      <c r="H17" t="str">
        <f t="shared" si="0"/>
        <v>9.62±1.77</v>
      </c>
      <c r="I17" s="1" t="s">
        <v>2</v>
      </c>
      <c r="J17" s="2">
        <v>2.4079999999999999</v>
      </c>
      <c r="K17" s="2">
        <v>2.8639999999999999</v>
      </c>
      <c r="L17" s="2">
        <v>2.395</v>
      </c>
      <c r="M17" s="2">
        <v>2.2789999999999999</v>
      </c>
      <c r="N17" s="2">
        <v>2.21</v>
      </c>
      <c r="O17" s="2">
        <v>2.1709999999999998</v>
      </c>
      <c r="P17" t="str">
        <f t="shared" si="1"/>
        <v>2.39±0.48</v>
      </c>
    </row>
    <row r="18" spans="1:16" x14ac:dyDescent="0.25">
      <c r="A18" s="1" t="s">
        <v>3</v>
      </c>
      <c r="B18" s="2">
        <v>16.364999999999998</v>
      </c>
      <c r="C18" s="2">
        <v>10.238</v>
      </c>
      <c r="D18" s="2">
        <v>10.476000000000001</v>
      </c>
      <c r="E18" s="2">
        <v>8.9589999999999996</v>
      </c>
      <c r="F18" s="2">
        <v>9.0020000000000007</v>
      </c>
      <c r="G18" s="2">
        <v>8.58</v>
      </c>
      <c r="H18" t="str">
        <f t="shared" si="0"/>
        <v>10.60±5.76</v>
      </c>
      <c r="I18" s="1" t="s">
        <v>3</v>
      </c>
      <c r="J18" s="2">
        <v>4.468</v>
      </c>
      <c r="K18" s="2">
        <v>2.6520000000000001</v>
      </c>
      <c r="L18" s="2">
        <v>2.6160000000000001</v>
      </c>
      <c r="M18" s="2">
        <v>2.2440000000000002</v>
      </c>
      <c r="N18" s="1">
        <v>2.2090000000000001</v>
      </c>
      <c r="O18" s="2">
        <v>2.145</v>
      </c>
      <c r="P18" t="str">
        <f t="shared" si="1"/>
        <v>2.72±1.75</v>
      </c>
    </row>
    <row r="19" spans="1:16" x14ac:dyDescent="0.25">
      <c r="A19" s="1" t="s">
        <v>4</v>
      </c>
      <c r="B19" s="2">
        <v>23.478000000000002</v>
      </c>
      <c r="C19" s="2">
        <v>15.85</v>
      </c>
      <c r="D19" s="2">
        <v>15.143000000000001</v>
      </c>
      <c r="E19" s="2">
        <v>27.474</v>
      </c>
      <c r="F19" s="2">
        <v>15.868</v>
      </c>
      <c r="G19" s="2">
        <v>15.795999999999999</v>
      </c>
      <c r="H19" t="str">
        <f t="shared" si="0"/>
        <v>18.93±8.54</v>
      </c>
      <c r="I19" s="1" t="s">
        <v>4</v>
      </c>
      <c r="J19" s="2">
        <v>5.2759999999999998</v>
      </c>
      <c r="K19" s="2">
        <v>3.8460000000000001</v>
      </c>
      <c r="L19" s="2">
        <v>3.839</v>
      </c>
      <c r="M19" s="2">
        <v>5.38</v>
      </c>
      <c r="N19" s="1">
        <v>3.8610000000000002</v>
      </c>
      <c r="O19" s="2">
        <v>3.839</v>
      </c>
      <c r="P19" t="str">
        <f t="shared" si="1"/>
        <v>4.34±1.04</v>
      </c>
    </row>
    <row r="20" spans="1:16" x14ac:dyDescent="0.25">
      <c r="A20" s="1" t="s">
        <v>5</v>
      </c>
      <c r="B20" s="2">
        <v>12.051</v>
      </c>
      <c r="C20" s="2">
        <v>10.327</v>
      </c>
      <c r="D20" s="2">
        <v>14.265000000000001</v>
      </c>
      <c r="E20" s="1">
        <v>10.022</v>
      </c>
      <c r="F20" s="2">
        <v>9.7149999999999999</v>
      </c>
      <c r="G20" s="2">
        <v>9.2200000000000006</v>
      </c>
      <c r="H20" t="str">
        <f t="shared" si="0"/>
        <v>10.93±3.33</v>
      </c>
      <c r="I20" s="1" t="s">
        <v>5</v>
      </c>
      <c r="J20" s="2">
        <v>3.0630000000000002</v>
      </c>
      <c r="K20" s="2">
        <v>2.6280000000000001</v>
      </c>
      <c r="L20" s="2">
        <v>3.794</v>
      </c>
      <c r="M20" s="2">
        <v>2.4750000000000001</v>
      </c>
      <c r="N20" s="1">
        <v>2.472</v>
      </c>
      <c r="O20" s="2">
        <v>2.3159999999999998</v>
      </c>
      <c r="P20" t="str">
        <f t="shared" si="1"/>
        <v>2.79±1.00</v>
      </c>
    </row>
    <row r="21" spans="1:16" x14ac:dyDescent="0.25">
      <c r="A21" s="1" t="s">
        <v>6</v>
      </c>
      <c r="B21" s="2">
        <v>35.264000000000003</v>
      </c>
      <c r="C21" s="2">
        <v>83.037999999999997</v>
      </c>
      <c r="D21" s="2">
        <v>96.709000000000003</v>
      </c>
      <c r="E21" s="2">
        <v>12.62</v>
      </c>
      <c r="F21" s="2">
        <v>16.638000000000002</v>
      </c>
      <c r="G21" s="2">
        <v>10.698</v>
      </c>
      <c r="H21" t="str">
        <f t="shared" si="0"/>
        <v>42.49±54.21</v>
      </c>
      <c r="I21" s="1" t="s">
        <v>6</v>
      </c>
      <c r="J21" s="2">
        <v>6.2930000000000001</v>
      </c>
      <c r="K21" s="2">
        <v>11.337999999999999</v>
      </c>
      <c r="L21" s="2">
        <v>12.699</v>
      </c>
      <c r="M21" s="2">
        <v>3.637</v>
      </c>
      <c r="N21" s="1">
        <v>4.6820000000000004</v>
      </c>
      <c r="O21" s="2">
        <v>2.7429999999999999</v>
      </c>
      <c r="P21" t="str">
        <f t="shared" si="1"/>
        <v>6.90±5.80</v>
      </c>
    </row>
    <row r="22" spans="1:16" x14ac:dyDescent="0.25">
      <c r="A22" s="1" t="s">
        <v>7</v>
      </c>
      <c r="B22" s="2">
        <v>18.766999999999999</v>
      </c>
      <c r="C22" s="2">
        <v>34.99</v>
      </c>
      <c r="D22" s="2">
        <v>18.591999999999999</v>
      </c>
      <c r="E22" s="2">
        <v>16.265999999999998</v>
      </c>
      <c r="F22" s="2">
        <v>12.221</v>
      </c>
      <c r="G22" s="2">
        <v>14.654</v>
      </c>
      <c r="H22" t="str">
        <f t="shared" si="0"/>
        <v>19.25±15.74</v>
      </c>
      <c r="I22" s="1" t="s">
        <v>7</v>
      </c>
      <c r="J22" s="2">
        <v>5.2789999999999999</v>
      </c>
      <c r="K22" s="2">
        <v>13.411</v>
      </c>
      <c r="L22" s="2">
        <v>5.4550000000000001</v>
      </c>
      <c r="M22" s="2">
        <v>4.6779999999999999</v>
      </c>
      <c r="N22" s="1">
        <v>3.3839999999999999</v>
      </c>
      <c r="O22" s="2">
        <v>4.0510000000000002</v>
      </c>
      <c r="P22" t="str">
        <f t="shared" si="1"/>
        <v>6.04±7.37</v>
      </c>
    </row>
    <row r="23" spans="1:16" x14ac:dyDescent="0.25">
      <c r="A23" s="1" t="s">
        <v>8</v>
      </c>
      <c r="B23" s="4">
        <v>9.3780000000000001</v>
      </c>
      <c r="C23" s="4">
        <v>8.8079999999999998</v>
      </c>
      <c r="D23" s="4">
        <v>9.3970000000000002</v>
      </c>
      <c r="E23" s="4">
        <v>8.5329999999999995</v>
      </c>
      <c r="F23" s="4">
        <v>8.7949999999999999</v>
      </c>
      <c r="G23" s="4">
        <v>8.6210000000000004</v>
      </c>
      <c r="H23" t="str">
        <f t="shared" si="0"/>
        <v>8.92±0.48</v>
      </c>
      <c r="I23" s="1" t="s">
        <v>8</v>
      </c>
      <c r="J23" s="4">
        <v>2.3370000000000002</v>
      </c>
      <c r="K23" s="4">
        <v>2.218</v>
      </c>
      <c r="L23" s="4">
        <v>2.3559999999999999</v>
      </c>
      <c r="M23" s="4">
        <v>2.1379999999999999</v>
      </c>
      <c r="N23" s="4">
        <v>2.1840000000000002</v>
      </c>
      <c r="O23" s="4">
        <v>2.177</v>
      </c>
      <c r="P23" t="str">
        <f t="shared" si="1"/>
        <v>2.24±0.12</v>
      </c>
    </row>
  </sheetData>
  <mergeCells count="4">
    <mergeCell ref="A1:G1"/>
    <mergeCell ref="I1:O1"/>
    <mergeCell ref="A13:G13"/>
    <mergeCell ref="I13:O13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174A-4288-4196-8E6B-C235BC7D45FF}">
  <dimension ref="A1:P23"/>
  <sheetViews>
    <sheetView zoomScale="115" zoomScaleNormal="115" workbookViewId="0">
      <selection activeCell="H27" sqref="H27"/>
    </sheetView>
  </sheetViews>
  <sheetFormatPr defaultRowHeight="14.4" x14ac:dyDescent="0.25"/>
  <cols>
    <col min="1" max="1" width="18.6640625" customWidth="1"/>
    <col min="8" max="8" width="15.21875" customWidth="1"/>
    <col min="9" max="9" width="19.88671875" customWidth="1"/>
    <col min="16" max="16" width="16.2187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18.303000000000001</v>
      </c>
      <c r="C3" s="2">
        <v>14.271000000000001</v>
      </c>
      <c r="D3" s="2">
        <v>21.937999999999999</v>
      </c>
      <c r="E3" s="2">
        <v>22.036999999999999</v>
      </c>
      <c r="F3" s="1">
        <v>21.651</v>
      </c>
      <c r="G3" s="2">
        <v>13.595000000000001</v>
      </c>
      <c r="H3" t="str">
        <f>TEXT(AVERAGE(B3:G3),"0.00")&amp;"±"&amp;TEXT((MAX(B3:G3)-AVERAGE(B3:G3)),"0.00")</f>
        <v>18.63±3.40</v>
      </c>
      <c r="I3" s="1" t="s">
        <v>0</v>
      </c>
      <c r="J3" s="2">
        <v>3.2669999999999999</v>
      </c>
      <c r="K3" s="2">
        <v>2.7930000000000001</v>
      </c>
      <c r="L3" s="2">
        <v>5.0460000000000003</v>
      </c>
      <c r="M3" s="2">
        <v>5.0739999999999998</v>
      </c>
      <c r="N3" s="2">
        <v>4.9489999999999998</v>
      </c>
      <c r="O3" s="2">
        <v>2.6139999999999999</v>
      </c>
      <c r="P3" t="str">
        <f>TEXT(AVERAGE(J3:O3),"0.00")&amp;"±"&amp;TEXT((MAX(J3:O3)-AVERAGE(J3:O3)),"0.00")</f>
        <v>3.96±1.12</v>
      </c>
    </row>
    <row r="4" spans="1:16" x14ac:dyDescent="0.25">
      <c r="A4" s="1" t="s">
        <v>1</v>
      </c>
      <c r="B4" s="2">
        <v>12.696</v>
      </c>
      <c r="C4" s="2">
        <v>12.37</v>
      </c>
      <c r="D4" s="2">
        <v>12.005000000000001</v>
      </c>
      <c r="E4" s="2">
        <v>11.801</v>
      </c>
      <c r="F4" s="2">
        <v>12.616</v>
      </c>
      <c r="G4" s="2">
        <v>12.124000000000001</v>
      </c>
      <c r="H4" t="str">
        <f t="shared" ref="H4:H23" si="0">TEXT(AVERAGE(B4:G4),"0.00")&amp;"±"&amp;TEXT((MAX(B4:G4)-AVERAGE(B4:G4)),"0.00")</f>
        <v>12.27±0.43</v>
      </c>
      <c r="I4" s="1" t="s">
        <v>1</v>
      </c>
      <c r="J4" s="2">
        <v>2.4540000000000002</v>
      </c>
      <c r="K4" s="2">
        <v>2.3620000000000001</v>
      </c>
      <c r="L4" s="2">
        <v>2.274</v>
      </c>
      <c r="M4" s="2">
        <v>2.1949999999999998</v>
      </c>
      <c r="N4" s="2">
        <v>2.423</v>
      </c>
      <c r="O4" s="2">
        <v>2.3199999999999998</v>
      </c>
      <c r="P4" t="str">
        <f t="shared" ref="P4:P23" si="1">TEXT(AVERAGE(J4:O4),"0.00")&amp;"±"&amp;TEXT((MAX(J4:O4)-AVERAGE(J4:O4)),"0.00")</f>
        <v>2.34±0.12</v>
      </c>
    </row>
    <row r="5" spans="1:16" x14ac:dyDescent="0.25">
      <c r="A5" s="1" t="s">
        <v>2</v>
      </c>
      <c r="B5" s="2">
        <v>13.788</v>
      </c>
      <c r="C5" s="2">
        <v>12.058</v>
      </c>
      <c r="D5" s="2">
        <v>11.865</v>
      </c>
      <c r="E5" s="2">
        <v>12.106</v>
      </c>
      <c r="F5" s="2">
        <v>12.243</v>
      </c>
      <c r="G5" s="2">
        <v>12.031000000000001</v>
      </c>
      <c r="H5" t="str">
        <f t="shared" si="0"/>
        <v>12.35±1.44</v>
      </c>
      <c r="I5" s="1" t="s">
        <v>2</v>
      </c>
      <c r="J5" s="2">
        <v>2.7229999999999999</v>
      </c>
      <c r="K5" s="2">
        <v>2.2770000000000001</v>
      </c>
      <c r="L5" s="2">
        <v>2.2440000000000002</v>
      </c>
      <c r="M5" s="2">
        <v>2.3199999999999998</v>
      </c>
      <c r="N5" s="2">
        <v>2.3780000000000001</v>
      </c>
      <c r="O5" s="2">
        <v>2.33</v>
      </c>
      <c r="P5" t="str">
        <f t="shared" si="1"/>
        <v>2.38±0.34</v>
      </c>
    </row>
    <row r="6" spans="1:16" x14ac:dyDescent="0.25">
      <c r="A6" s="1" t="s">
        <v>3</v>
      </c>
      <c r="B6" s="3">
        <v>11.657999999999999</v>
      </c>
      <c r="C6" s="2">
        <v>12.522</v>
      </c>
      <c r="D6" s="2">
        <v>12.173</v>
      </c>
      <c r="E6" s="2">
        <v>13.044</v>
      </c>
      <c r="F6" s="2">
        <v>13.063000000000001</v>
      </c>
      <c r="G6" s="2">
        <v>12.247999999999999</v>
      </c>
      <c r="H6" t="str">
        <f t="shared" si="0"/>
        <v>12.45±0.61</v>
      </c>
      <c r="I6" s="1" t="s">
        <v>3</v>
      </c>
      <c r="J6" s="3">
        <v>2.2330000000000001</v>
      </c>
      <c r="K6" s="2">
        <v>2.4020000000000001</v>
      </c>
      <c r="L6" s="2">
        <v>2.3460000000000001</v>
      </c>
      <c r="M6" s="2">
        <v>2.5499999999999998</v>
      </c>
      <c r="N6" s="1">
        <v>2.5089999999999999</v>
      </c>
      <c r="O6" s="2">
        <v>2.3250000000000002</v>
      </c>
      <c r="P6" t="str">
        <f t="shared" si="1"/>
        <v>2.39±0.16</v>
      </c>
    </row>
    <row r="7" spans="1:16" x14ac:dyDescent="0.25">
      <c r="A7" s="1" t="s">
        <v>4</v>
      </c>
      <c r="B7" s="2">
        <v>12.855</v>
      </c>
      <c r="C7" s="2">
        <v>11.85</v>
      </c>
      <c r="D7" s="2">
        <v>11.86</v>
      </c>
      <c r="E7" s="2">
        <v>11.675000000000001</v>
      </c>
      <c r="F7" s="2">
        <v>13.314</v>
      </c>
      <c r="G7" s="2">
        <v>12.348000000000001</v>
      </c>
      <c r="H7" t="str">
        <f t="shared" si="0"/>
        <v>12.32±1.00</v>
      </c>
      <c r="I7" s="1" t="s">
        <v>4</v>
      </c>
      <c r="J7" s="2">
        <v>2.488</v>
      </c>
      <c r="K7" s="2">
        <v>2.2269999999999999</v>
      </c>
      <c r="L7" s="2">
        <v>2.2160000000000002</v>
      </c>
      <c r="M7" s="2">
        <v>2.1989999999999998</v>
      </c>
      <c r="N7" s="1">
        <v>2.6139999999999999</v>
      </c>
      <c r="O7" s="2">
        <v>2.3380000000000001</v>
      </c>
      <c r="P7" t="str">
        <f t="shared" si="1"/>
        <v>2.35±0.27</v>
      </c>
    </row>
    <row r="8" spans="1:16" x14ac:dyDescent="0.25">
      <c r="A8" s="1" t="s">
        <v>5</v>
      </c>
      <c r="B8" s="2">
        <v>11.667999999999999</v>
      </c>
      <c r="C8" s="2">
        <v>12.093</v>
      </c>
      <c r="D8" s="2">
        <v>13.257</v>
      </c>
      <c r="E8" s="2">
        <v>12.259</v>
      </c>
      <c r="F8" s="2">
        <v>12.329000000000001</v>
      </c>
      <c r="G8" s="2">
        <v>12.132</v>
      </c>
      <c r="H8" t="str">
        <f t="shared" si="0"/>
        <v>12.29±0.97</v>
      </c>
      <c r="I8" s="1" t="s">
        <v>5</v>
      </c>
      <c r="J8" s="2">
        <v>2.2189999999999999</v>
      </c>
      <c r="K8" s="2">
        <v>2.3260000000000001</v>
      </c>
      <c r="L8" s="2">
        <v>2.617</v>
      </c>
      <c r="M8" s="2">
        <v>2.294</v>
      </c>
      <c r="N8" s="1">
        <v>2.3580000000000001</v>
      </c>
      <c r="O8" s="2">
        <v>2.3460000000000001</v>
      </c>
      <c r="P8" t="str">
        <f t="shared" si="1"/>
        <v>2.36±0.26</v>
      </c>
    </row>
    <row r="9" spans="1:16" x14ac:dyDescent="0.25">
      <c r="A9" s="1" t="s">
        <v>6</v>
      </c>
      <c r="B9" s="2">
        <v>12.221</v>
      </c>
      <c r="C9" s="2">
        <v>12.555</v>
      </c>
      <c r="D9" s="2">
        <v>12.102</v>
      </c>
      <c r="E9" s="2">
        <v>11.225</v>
      </c>
      <c r="F9" s="2">
        <v>12.053000000000001</v>
      </c>
      <c r="G9" s="2">
        <v>10.48</v>
      </c>
      <c r="H9" t="str">
        <f t="shared" si="0"/>
        <v>11.77±0.78</v>
      </c>
      <c r="I9" s="1" t="s">
        <v>6</v>
      </c>
      <c r="J9" s="2">
        <v>2.3119999999999998</v>
      </c>
      <c r="K9" s="2">
        <v>2.4119999999999999</v>
      </c>
      <c r="L9" s="2">
        <v>2.3220000000000001</v>
      </c>
      <c r="M9" s="2">
        <v>2.0590000000000002</v>
      </c>
      <c r="N9" s="1">
        <v>2.3199999999999998</v>
      </c>
      <c r="O9" s="2">
        <v>1.9390000000000001</v>
      </c>
      <c r="P9" t="str">
        <f t="shared" si="1"/>
        <v>2.23±0.18</v>
      </c>
    </row>
    <row r="10" spans="1:16" x14ac:dyDescent="0.25">
      <c r="A10" s="1" t="s">
        <v>7</v>
      </c>
      <c r="B10" s="2">
        <v>13.625</v>
      </c>
      <c r="C10" s="2">
        <v>12.09</v>
      </c>
      <c r="D10" s="2">
        <v>11.603999999999999</v>
      </c>
      <c r="E10" s="2">
        <v>11.307</v>
      </c>
      <c r="F10" s="2">
        <v>12.365</v>
      </c>
      <c r="G10" s="2">
        <v>11.775</v>
      </c>
      <c r="H10" t="str">
        <f t="shared" si="0"/>
        <v>12.13±1.50</v>
      </c>
      <c r="I10" s="1" t="s">
        <v>7</v>
      </c>
      <c r="J10" s="2">
        <v>2.661</v>
      </c>
      <c r="K10" s="2">
        <v>2.2949999999999999</v>
      </c>
      <c r="L10" s="2">
        <v>2.1680000000000001</v>
      </c>
      <c r="M10" s="2">
        <v>2.1030000000000002</v>
      </c>
      <c r="N10" s="1">
        <v>2.3450000000000002</v>
      </c>
      <c r="O10" s="2">
        <v>2.2210000000000001</v>
      </c>
      <c r="P10" t="str">
        <f t="shared" si="1"/>
        <v>2.30±0.36</v>
      </c>
    </row>
    <row r="11" spans="1:16" x14ac:dyDescent="0.25">
      <c r="A11" s="1" t="s">
        <v>8</v>
      </c>
      <c r="B11" s="4">
        <v>11.144</v>
      </c>
      <c r="C11" s="4">
        <v>10.563000000000001</v>
      </c>
      <c r="D11" s="4">
        <v>10.576000000000001</v>
      </c>
      <c r="E11" s="4">
        <v>10.736000000000001</v>
      </c>
      <c r="F11" s="4">
        <v>10.605</v>
      </c>
      <c r="G11" s="4">
        <v>10.352</v>
      </c>
      <c r="H11" t="str">
        <f t="shared" si="0"/>
        <v>10.66±0.48</v>
      </c>
      <c r="I11" s="1" t="s">
        <v>8</v>
      </c>
      <c r="J11" s="4">
        <v>2.093</v>
      </c>
      <c r="K11" s="4">
        <v>1.964</v>
      </c>
      <c r="L11" s="4">
        <v>1.948</v>
      </c>
      <c r="M11" s="4">
        <v>1.9810000000000001</v>
      </c>
      <c r="N11" s="4">
        <v>1.952</v>
      </c>
      <c r="O11" s="4">
        <v>1.9</v>
      </c>
      <c r="P11" t="str">
        <f t="shared" si="1"/>
        <v>1.97±0.12</v>
      </c>
    </row>
    <row r="12" spans="1:16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1"/>
      <c r="O12" s="2"/>
    </row>
    <row r="13" spans="1:16" x14ac:dyDescent="0.25">
      <c r="A13" s="6" t="s">
        <v>11</v>
      </c>
      <c r="B13" s="6"/>
      <c r="C13" s="6"/>
      <c r="D13" s="6"/>
      <c r="E13" s="6"/>
      <c r="F13" s="6"/>
      <c r="G13" s="6"/>
      <c r="H13" s="5"/>
      <c r="I13" s="6" t="s">
        <v>12</v>
      </c>
      <c r="J13" s="6"/>
      <c r="K13" s="6"/>
      <c r="L13" s="6"/>
      <c r="M13" s="6"/>
      <c r="N13" s="6"/>
      <c r="O13" s="6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5"/>
      <c r="I14" s="1" t="s">
        <v>13</v>
      </c>
      <c r="J14" s="2">
        <v>30</v>
      </c>
      <c r="K14" s="2">
        <v>60</v>
      </c>
      <c r="L14" s="2">
        <v>120</v>
      </c>
      <c r="M14" s="2">
        <v>240</v>
      </c>
      <c r="N14" s="2">
        <v>360</v>
      </c>
      <c r="O14" s="2">
        <v>480</v>
      </c>
    </row>
    <row r="15" spans="1:16" x14ac:dyDescent="0.25">
      <c r="A15" s="1" t="s">
        <v>0</v>
      </c>
      <c r="B15" s="2">
        <v>18.097999999999999</v>
      </c>
      <c r="C15" s="2">
        <v>41.22</v>
      </c>
      <c r="D15" s="2">
        <v>58.408999999999999</v>
      </c>
      <c r="E15" s="2">
        <v>65.08</v>
      </c>
      <c r="F15" s="2">
        <v>58.844999999999999</v>
      </c>
      <c r="G15" s="2">
        <v>23.465</v>
      </c>
      <c r="H15" t="str">
        <f t="shared" si="0"/>
        <v>44.19±20.89</v>
      </c>
      <c r="I15" s="1" t="s">
        <v>0</v>
      </c>
      <c r="J15" s="2">
        <v>4.9509999999999996</v>
      </c>
      <c r="K15" s="2">
        <v>17.879000000000001</v>
      </c>
      <c r="L15" s="2">
        <v>37.564999999999998</v>
      </c>
      <c r="M15" s="2">
        <v>48.572000000000003</v>
      </c>
      <c r="N15" s="2">
        <v>36.43</v>
      </c>
      <c r="O15" s="2">
        <v>7.0970000000000004</v>
      </c>
      <c r="P15" t="str">
        <f t="shared" si="1"/>
        <v>25.42±23.16</v>
      </c>
    </row>
    <row r="16" spans="1:16" x14ac:dyDescent="0.25">
      <c r="A16" s="1" t="s">
        <v>1</v>
      </c>
      <c r="B16" s="2">
        <v>12.115</v>
      </c>
      <c r="C16" s="2">
        <v>9.6809999999999992</v>
      </c>
      <c r="D16" s="2">
        <v>10.444000000000001</v>
      </c>
      <c r="E16" s="2">
        <v>11.462</v>
      </c>
      <c r="F16" s="2">
        <v>8.7550000000000008</v>
      </c>
      <c r="G16" s="2">
        <v>8.9109999999999996</v>
      </c>
      <c r="H16" t="str">
        <f t="shared" si="0"/>
        <v>10.23±1.89</v>
      </c>
      <c r="I16" s="1" t="s">
        <v>1</v>
      </c>
      <c r="J16" s="2">
        <v>3.0659999999999998</v>
      </c>
      <c r="K16" s="2">
        <v>2.4129999999999998</v>
      </c>
      <c r="L16" s="2">
        <v>2.61</v>
      </c>
      <c r="M16" s="2">
        <v>2.9049999999999998</v>
      </c>
      <c r="N16" s="2">
        <v>2.1949999999999998</v>
      </c>
      <c r="O16" s="2">
        <v>2.2450000000000001</v>
      </c>
      <c r="P16" t="str">
        <f t="shared" si="1"/>
        <v>2.57±0.49</v>
      </c>
    </row>
    <row r="17" spans="1:16" x14ac:dyDescent="0.25">
      <c r="A17" s="1" t="s">
        <v>2</v>
      </c>
      <c r="B17" s="2">
        <v>10.622999999999999</v>
      </c>
      <c r="C17" s="2">
        <v>10.366</v>
      </c>
      <c r="D17" s="2">
        <v>10.058</v>
      </c>
      <c r="E17" s="2">
        <v>8.8460000000000001</v>
      </c>
      <c r="F17" s="2">
        <v>8.8490000000000002</v>
      </c>
      <c r="G17" s="2">
        <v>9.0589999999999993</v>
      </c>
      <c r="H17" t="str">
        <f t="shared" si="0"/>
        <v>9.63±0.99</v>
      </c>
      <c r="I17" s="1" t="s">
        <v>2</v>
      </c>
      <c r="J17" s="2">
        <v>2.7709999999999999</v>
      </c>
      <c r="K17" s="2">
        <v>2.6179999999999999</v>
      </c>
      <c r="L17" s="2">
        <v>2.5249999999999999</v>
      </c>
      <c r="M17" s="2">
        <v>2.2200000000000002</v>
      </c>
      <c r="N17" s="2">
        <v>2.234</v>
      </c>
      <c r="O17" s="2">
        <v>2.2959999999999998</v>
      </c>
      <c r="P17" t="str">
        <f t="shared" si="1"/>
        <v>2.44±0.33</v>
      </c>
    </row>
    <row r="18" spans="1:16" x14ac:dyDescent="0.25">
      <c r="A18" s="1" t="s">
        <v>3</v>
      </c>
      <c r="B18" s="2">
        <v>15.704000000000001</v>
      </c>
      <c r="C18" s="2">
        <v>10.382</v>
      </c>
      <c r="D18" s="2">
        <v>11.513999999999999</v>
      </c>
      <c r="E18" s="2">
        <v>9.2219999999999995</v>
      </c>
      <c r="F18" s="2">
        <v>9.0559999999999992</v>
      </c>
      <c r="G18" s="2">
        <v>8.8989999999999991</v>
      </c>
      <c r="H18" t="str">
        <f t="shared" si="0"/>
        <v>10.80±4.91</v>
      </c>
      <c r="I18" s="1" t="s">
        <v>3</v>
      </c>
      <c r="J18" s="2">
        <v>4.173</v>
      </c>
      <c r="K18" s="2">
        <v>2.4969999999999999</v>
      </c>
      <c r="L18" s="2">
        <v>2.8940000000000001</v>
      </c>
      <c r="M18" s="2">
        <v>2.2530000000000001</v>
      </c>
      <c r="N18" s="1">
        <v>2.2719999999999998</v>
      </c>
      <c r="O18" s="2">
        <v>2.2509999999999999</v>
      </c>
      <c r="P18" t="str">
        <f t="shared" si="1"/>
        <v>2.72±1.45</v>
      </c>
    </row>
    <row r="19" spans="1:16" x14ac:dyDescent="0.25">
      <c r="A19" s="1" t="s">
        <v>4</v>
      </c>
      <c r="B19" s="2">
        <v>14.666</v>
      </c>
      <c r="C19" s="2">
        <v>21.04</v>
      </c>
      <c r="D19" s="2">
        <v>13.909000000000001</v>
      </c>
      <c r="E19" s="2">
        <v>25.783000000000001</v>
      </c>
      <c r="F19" s="2">
        <v>15.465999999999999</v>
      </c>
      <c r="G19" s="2">
        <v>14.27</v>
      </c>
      <c r="H19" t="str">
        <f t="shared" si="0"/>
        <v>17.52±8.26</v>
      </c>
      <c r="I19" s="1" t="s">
        <v>4</v>
      </c>
      <c r="J19" s="2">
        <v>3.7069999999999999</v>
      </c>
      <c r="K19" s="2">
        <v>6.3339999999999996</v>
      </c>
      <c r="L19" s="2">
        <v>3.6269999999999998</v>
      </c>
      <c r="M19" s="2">
        <v>5.37</v>
      </c>
      <c r="N19" s="1">
        <v>3.9569999999999999</v>
      </c>
      <c r="O19" s="2">
        <v>3.5609999999999999</v>
      </c>
      <c r="P19" t="str">
        <f t="shared" si="1"/>
        <v>4.43±1.91</v>
      </c>
    </row>
    <row r="20" spans="1:16" x14ac:dyDescent="0.25">
      <c r="A20" s="1" t="s">
        <v>5</v>
      </c>
      <c r="B20" s="2">
        <v>18.692</v>
      </c>
      <c r="C20" s="2">
        <v>11.207000000000001</v>
      </c>
      <c r="D20" s="2">
        <v>15.497</v>
      </c>
      <c r="E20" s="2">
        <v>10.381</v>
      </c>
      <c r="F20" s="2">
        <v>14.849</v>
      </c>
      <c r="G20" s="2">
        <v>9.7050000000000001</v>
      </c>
      <c r="H20" t="str">
        <f t="shared" si="0"/>
        <v>13.39±5.30</v>
      </c>
      <c r="I20" s="1" t="s">
        <v>5</v>
      </c>
      <c r="J20" s="2">
        <v>5.3449999999999998</v>
      </c>
      <c r="K20" s="2">
        <v>2.8370000000000002</v>
      </c>
      <c r="L20" s="2">
        <v>4.1980000000000004</v>
      </c>
      <c r="M20" s="2">
        <v>2.7320000000000002</v>
      </c>
      <c r="N20" s="1">
        <v>4.0039999999999996</v>
      </c>
      <c r="O20" s="2">
        <v>2.3959999999999999</v>
      </c>
      <c r="P20" t="str">
        <f t="shared" si="1"/>
        <v>3.59±1.76</v>
      </c>
    </row>
    <row r="21" spans="1:16" x14ac:dyDescent="0.25">
      <c r="A21" s="1" t="s">
        <v>6</v>
      </c>
      <c r="B21" s="2">
        <v>16.477</v>
      </c>
      <c r="C21" s="2">
        <v>19.016999999999999</v>
      </c>
      <c r="D21" s="2">
        <v>17.722000000000001</v>
      </c>
      <c r="E21" s="2">
        <v>15.569000000000001</v>
      </c>
      <c r="F21" s="2">
        <v>51.087000000000003</v>
      </c>
      <c r="G21" s="2">
        <v>10.093999999999999</v>
      </c>
      <c r="H21" t="str">
        <f t="shared" si="0"/>
        <v>21.66±29.43</v>
      </c>
      <c r="I21" s="1" t="s">
        <v>6</v>
      </c>
      <c r="J21" s="2">
        <v>4.7149999999999999</v>
      </c>
      <c r="K21" s="2">
        <v>4.1100000000000003</v>
      </c>
      <c r="L21" s="2">
        <v>5.1769999999999996</v>
      </c>
      <c r="M21" s="2">
        <v>3.5670000000000002</v>
      </c>
      <c r="N21" s="1">
        <v>7.6760000000000002</v>
      </c>
      <c r="O21" s="2">
        <v>2.4769999999999999</v>
      </c>
      <c r="P21" t="str">
        <f t="shared" si="1"/>
        <v>4.62±3.06</v>
      </c>
    </row>
    <row r="22" spans="1:16" x14ac:dyDescent="0.25">
      <c r="A22" s="1" t="s">
        <v>7</v>
      </c>
      <c r="B22" s="2">
        <v>28.823</v>
      </c>
      <c r="C22" s="2">
        <v>21.905000000000001</v>
      </c>
      <c r="D22" s="2">
        <v>28.67</v>
      </c>
      <c r="E22" s="2">
        <v>17.704000000000001</v>
      </c>
      <c r="F22" s="2">
        <v>15.118</v>
      </c>
      <c r="G22" s="2">
        <v>14.324</v>
      </c>
      <c r="H22" t="str">
        <f t="shared" si="0"/>
        <v>21.09±7.73</v>
      </c>
      <c r="I22" s="1" t="s">
        <v>7</v>
      </c>
      <c r="J22" s="2">
        <v>9.7050000000000001</v>
      </c>
      <c r="K22" s="2">
        <v>6.617</v>
      </c>
      <c r="L22" s="2">
        <v>9.9589999999999996</v>
      </c>
      <c r="M22" s="2">
        <v>5.157</v>
      </c>
      <c r="N22" s="1">
        <v>4.2770000000000001</v>
      </c>
      <c r="O22" s="2">
        <v>3.948</v>
      </c>
      <c r="P22" t="str">
        <f t="shared" si="1"/>
        <v>6.61±3.35</v>
      </c>
    </row>
    <row r="23" spans="1:16" x14ac:dyDescent="0.25">
      <c r="A23" s="1" t="s">
        <v>8</v>
      </c>
      <c r="B23" s="4">
        <v>10.7</v>
      </c>
      <c r="C23" s="4">
        <v>9.9260000000000002</v>
      </c>
      <c r="D23" s="4">
        <v>10.77</v>
      </c>
      <c r="E23" s="4">
        <v>9.4380000000000006</v>
      </c>
      <c r="F23" s="4">
        <v>10.118</v>
      </c>
      <c r="G23" s="4">
        <v>9.3680000000000003</v>
      </c>
      <c r="H23" t="str">
        <f t="shared" si="0"/>
        <v>10.05±0.72</v>
      </c>
      <c r="I23" s="1" t="s">
        <v>8</v>
      </c>
      <c r="J23" s="4">
        <v>2.6520000000000001</v>
      </c>
      <c r="K23" s="4">
        <v>2.4660000000000002</v>
      </c>
      <c r="L23" s="4">
        <v>2.6970000000000001</v>
      </c>
      <c r="M23" s="4">
        <v>2.371</v>
      </c>
      <c r="N23" s="4">
        <v>2.5430000000000001</v>
      </c>
      <c r="O23" s="4">
        <v>2.3359999999999999</v>
      </c>
      <c r="P23" t="str">
        <f t="shared" si="1"/>
        <v>2.51±0.19</v>
      </c>
    </row>
  </sheetData>
  <mergeCells count="4">
    <mergeCell ref="A1:G1"/>
    <mergeCell ref="I1:O1"/>
    <mergeCell ref="A13:G13"/>
    <mergeCell ref="I13:O1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EB55-CDED-4896-B024-0CDD42647226}">
  <dimension ref="A1:P23"/>
  <sheetViews>
    <sheetView zoomScale="115" zoomScaleNormal="115" workbookViewId="0">
      <selection activeCell="G27" sqref="G27"/>
    </sheetView>
  </sheetViews>
  <sheetFormatPr defaultRowHeight="14.4" x14ac:dyDescent="0.25"/>
  <cols>
    <col min="1" max="1" width="18.44140625" customWidth="1"/>
    <col min="8" max="8" width="13.44140625" customWidth="1"/>
    <col min="9" max="9" width="19.5546875" customWidth="1"/>
    <col min="16" max="16" width="1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15.462999999999999</v>
      </c>
      <c r="C3" s="2">
        <v>16.655000000000001</v>
      </c>
      <c r="D3" s="2">
        <v>23.603000000000002</v>
      </c>
      <c r="E3" s="2">
        <v>18.088999999999999</v>
      </c>
      <c r="F3" s="1">
        <v>23.645</v>
      </c>
      <c r="G3" s="2">
        <v>18.721</v>
      </c>
      <c r="H3" t="str">
        <f>TEXT(AVERAGE(B3:G3),"0.00")&amp;"±"&amp;TEXT((MAX(B3:G3)-AVERAGE(B3:G3)),"0.00")</f>
        <v>19.36±4.28</v>
      </c>
      <c r="I3" s="1" t="s">
        <v>0</v>
      </c>
      <c r="J3" s="2">
        <v>2.8279999999999998</v>
      </c>
      <c r="K3" s="2">
        <v>3.4390000000000001</v>
      </c>
      <c r="L3" s="2">
        <v>5.6050000000000004</v>
      </c>
      <c r="M3" s="2">
        <v>3.2290000000000001</v>
      </c>
      <c r="N3" s="2">
        <v>5.6130000000000004</v>
      </c>
      <c r="O3" s="2">
        <v>3.3210000000000002</v>
      </c>
      <c r="P3" t="str">
        <f>TEXT(AVERAGE(J3:O3),"0.00")&amp;"±"&amp;TEXT((MAX(J3:O3)-AVERAGE(J3:O3)),"0.00")</f>
        <v>4.01±1.61</v>
      </c>
    </row>
    <row r="4" spans="1:16" x14ac:dyDescent="0.25">
      <c r="A4" s="1" t="s">
        <v>1</v>
      </c>
      <c r="B4" s="2">
        <v>14.4</v>
      </c>
      <c r="C4" s="2">
        <v>12.69</v>
      </c>
      <c r="D4" s="2">
        <v>12.628</v>
      </c>
      <c r="E4" s="2">
        <v>13.198</v>
      </c>
      <c r="F4" s="2">
        <v>12.403</v>
      </c>
      <c r="G4" s="2">
        <v>12.113</v>
      </c>
      <c r="H4" t="str">
        <f t="shared" ref="H4:H23" si="0">TEXT(AVERAGE(B4:G4),"0.00")&amp;"±"&amp;TEXT((MAX(B4:G4)-AVERAGE(B4:G4)),"0.00")</f>
        <v>12.91±1.49</v>
      </c>
      <c r="I4" s="1" t="s">
        <v>1</v>
      </c>
      <c r="J4" s="2">
        <v>2.9180000000000001</v>
      </c>
      <c r="K4" s="2">
        <v>2.407</v>
      </c>
      <c r="L4" s="2">
        <v>2.4260000000000002</v>
      </c>
      <c r="M4" s="2">
        <v>2.5979999999999999</v>
      </c>
      <c r="N4" s="2">
        <v>2.4089999999999998</v>
      </c>
      <c r="O4" s="2">
        <v>2.3039999999999998</v>
      </c>
      <c r="P4" t="str">
        <f t="shared" ref="P4:P23" si="1">TEXT(AVERAGE(J4:O4),"0.00")&amp;"±"&amp;TEXT((MAX(J4:O4)-AVERAGE(J4:O4)),"0.00")</f>
        <v>2.51±0.41</v>
      </c>
    </row>
    <row r="5" spans="1:16" x14ac:dyDescent="0.25">
      <c r="A5" s="1" t="s">
        <v>2</v>
      </c>
      <c r="B5" s="2">
        <v>14.186</v>
      </c>
      <c r="C5" s="2">
        <v>15.438000000000001</v>
      </c>
      <c r="D5" s="2">
        <v>13.554</v>
      </c>
      <c r="E5" s="2">
        <v>13.42</v>
      </c>
      <c r="F5" s="2">
        <v>12.988</v>
      </c>
      <c r="G5" s="2">
        <v>12.382</v>
      </c>
      <c r="H5" t="str">
        <f t="shared" si="0"/>
        <v>13.66±1.78</v>
      </c>
      <c r="I5" s="1" t="s">
        <v>2</v>
      </c>
      <c r="J5" s="2">
        <v>2.863</v>
      </c>
      <c r="K5" s="2">
        <v>3.125</v>
      </c>
      <c r="L5" s="2">
        <v>2.6720000000000002</v>
      </c>
      <c r="M5" s="2">
        <v>2.613</v>
      </c>
      <c r="N5" s="2">
        <v>2.548</v>
      </c>
      <c r="O5" s="2">
        <v>2.3809999999999998</v>
      </c>
      <c r="P5" t="str">
        <f t="shared" si="1"/>
        <v>2.70±0.42</v>
      </c>
    </row>
    <row r="6" spans="1:16" x14ac:dyDescent="0.25">
      <c r="A6" s="1" t="s">
        <v>3</v>
      </c>
      <c r="B6" s="3">
        <v>13.09</v>
      </c>
      <c r="C6" s="2">
        <v>14.643000000000001</v>
      </c>
      <c r="D6" s="2">
        <v>12.815</v>
      </c>
      <c r="E6" s="2">
        <v>13.234</v>
      </c>
      <c r="F6" s="2">
        <v>13.750999999999999</v>
      </c>
      <c r="G6" s="2">
        <v>13.356999999999999</v>
      </c>
      <c r="H6" t="str">
        <f t="shared" si="0"/>
        <v>13.48±1.16</v>
      </c>
      <c r="I6" s="1" t="s">
        <v>3</v>
      </c>
      <c r="J6" s="3">
        <v>2.5920000000000001</v>
      </c>
      <c r="K6" s="2">
        <v>2.9870000000000001</v>
      </c>
      <c r="L6" s="2">
        <v>2.4929999999999999</v>
      </c>
      <c r="M6" s="2">
        <v>2.544</v>
      </c>
      <c r="N6" s="1">
        <v>2.7269999999999999</v>
      </c>
      <c r="O6" s="2">
        <v>2.64</v>
      </c>
      <c r="P6" t="str">
        <f t="shared" si="1"/>
        <v>2.66±0.32</v>
      </c>
    </row>
    <row r="7" spans="1:16" x14ac:dyDescent="0.25">
      <c r="A7" s="1" t="s">
        <v>4</v>
      </c>
      <c r="B7" s="2">
        <v>13.269</v>
      </c>
      <c r="C7" s="2">
        <v>12.692</v>
      </c>
      <c r="D7" s="2">
        <v>11.864000000000001</v>
      </c>
      <c r="E7" s="2">
        <v>13.85</v>
      </c>
      <c r="F7" s="2">
        <v>13.78</v>
      </c>
      <c r="G7" s="2">
        <v>13.17</v>
      </c>
      <c r="H7" t="str">
        <f t="shared" si="0"/>
        <v>13.10±0.75</v>
      </c>
      <c r="I7" s="1" t="s">
        <v>4</v>
      </c>
      <c r="J7" s="2">
        <v>2.641</v>
      </c>
      <c r="K7" s="2">
        <v>2.4620000000000002</v>
      </c>
      <c r="L7" s="2">
        <v>2.214</v>
      </c>
      <c r="M7" s="2">
        <v>2.7320000000000002</v>
      </c>
      <c r="N7" s="1">
        <v>2.7130000000000001</v>
      </c>
      <c r="O7" s="2">
        <v>2.56</v>
      </c>
      <c r="P7" t="str">
        <f t="shared" si="1"/>
        <v>2.55±0.18</v>
      </c>
    </row>
    <row r="8" spans="1:16" x14ac:dyDescent="0.25">
      <c r="A8" s="1" t="s">
        <v>5</v>
      </c>
      <c r="B8" s="2">
        <v>14.128</v>
      </c>
      <c r="C8" s="2">
        <v>16.311</v>
      </c>
      <c r="D8" s="2">
        <v>12.856</v>
      </c>
      <c r="E8" s="2">
        <v>12.739000000000001</v>
      </c>
      <c r="F8" s="2">
        <v>12.840999999999999</v>
      </c>
      <c r="G8" s="2">
        <v>12.308</v>
      </c>
      <c r="H8" t="str">
        <f t="shared" si="0"/>
        <v>13.53±2.78</v>
      </c>
      <c r="I8" s="1" t="s">
        <v>5</v>
      </c>
      <c r="J8" s="2">
        <v>2.8380000000000001</v>
      </c>
      <c r="K8" s="2">
        <v>3.4039999999999999</v>
      </c>
      <c r="L8" s="2">
        <v>2.48</v>
      </c>
      <c r="M8" s="2">
        <v>2.4670000000000001</v>
      </c>
      <c r="N8" s="1">
        <v>2.4790000000000001</v>
      </c>
      <c r="O8" s="2">
        <v>2.379</v>
      </c>
      <c r="P8" t="str">
        <f t="shared" si="1"/>
        <v>2.67±0.73</v>
      </c>
    </row>
    <row r="9" spans="1:16" x14ac:dyDescent="0.25">
      <c r="A9" s="1" t="s">
        <v>6</v>
      </c>
      <c r="B9" s="2">
        <v>12.808</v>
      </c>
      <c r="C9" s="2">
        <v>11.831</v>
      </c>
      <c r="D9" s="2">
        <v>13.044</v>
      </c>
      <c r="E9" s="2">
        <v>12.16</v>
      </c>
      <c r="F9" s="2">
        <v>11.821</v>
      </c>
      <c r="G9" s="2">
        <v>11.39</v>
      </c>
      <c r="H9" t="str">
        <f t="shared" si="0"/>
        <v>12.18±0.87</v>
      </c>
      <c r="I9" s="1" t="s">
        <v>6</v>
      </c>
      <c r="J9" s="2">
        <v>2.4609999999999999</v>
      </c>
      <c r="K9" s="2">
        <v>2.2410000000000001</v>
      </c>
      <c r="L9" s="2">
        <v>2.5270000000000001</v>
      </c>
      <c r="M9" s="2">
        <v>2.286</v>
      </c>
      <c r="N9" s="1">
        <v>2.2330000000000001</v>
      </c>
      <c r="O9" s="2">
        <v>2.14</v>
      </c>
      <c r="P9" t="str">
        <f t="shared" si="1"/>
        <v>2.31±0.21</v>
      </c>
    </row>
    <row r="10" spans="1:16" x14ac:dyDescent="0.25">
      <c r="A10" s="1" t="s">
        <v>7</v>
      </c>
      <c r="B10" s="2">
        <v>13.773999999999999</v>
      </c>
      <c r="C10" s="2">
        <v>12.372</v>
      </c>
      <c r="D10" s="2">
        <v>12.815</v>
      </c>
      <c r="E10" s="2">
        <v>11.904</v>
      </c>
      <c r="F10" s="2">
        <v>13.946</v>
      </c>
      <c r="G10" s="2">
        <v>13.02</v>
      </c>
      <c r="H10" t="str">
        <f t="shared" si="0"/>
        <v>12.97±0.97</v>
      </c>
      <c r="I10" s="1" t="s">
        <v>7</v>
      </c>
      <c r="J10" s="2">
        <v>2.71</v>
      </c>
      <c r="K10" s="2">
        <v>2.375</v>
      </c>
      <c r="L10" s="2">
        <v>2.4569999999999999</v>
      </c>
      <c r="M10" s="2">
        <v>2.2290000000000001</v>
      </c>
      <c r="N10" s="1">
        <v>2.7629999999999999</v>
      </c>
      <c r="O10" s="2">
        <v>2.5139999999999998</v>
      </c>
      <c r="P10" t="str">
        <f t="shared" si="1"/>
        <v>2.51±0.26</v>
      </c>
    </row>
    <row r="11" spans="1:16" x14ac:dyDescent="0.25">
      <c r="A11" s="1" t="s">
        <v>8</v>
      </c>
      <c r="B11" s="4">
        <v>12.113</v>
      </c>
      <c r="C11" s="4">
        <v>11.932</v>
      </c>
      <c r="D11" s="4">
        <v>11.65</v>
      </c>
      <c r="E11" s="4">
        <v>11.997999999999999</v>
      </c>
      <c r="F11" s="4">
        <v>11.635</v>
      </c>
      <c r="G11" s="4">
        <v>11.579000000000001</v>
      </c>
      <c r="H11" t="str">
        <f t="shared" si="0"/>
        <v>11.82±0.30</v>
      </c>
      <c r="I11" s="1" t="s">
        <v>8</v>
      </c>
      <c r="J11" s="4">
        <v>2.3410000000000002</v>
      </c>
      <c r="K11" s="4">
        <v>2.2629999999999999</v>
      </c>
      <c r="L11" s="4">
        <v>2.1949999999999998</v>
      </c>
      <c r="M11" s="4">
        <v>2.2610000000000001</v>
      </c>
      <c r="N11" s="4">
        <v>2.177</v>
      </c>
      <c r="O11" s="4">
        <v>2.1680000000000001</v>
      </c>
      <c r="P11" t="str">
        <f t="shared" si="1"/>
        <v>2.23±0.11</v>
      </c>
    </row>
    <row r="12" spans="1:16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1"/>
      <c r="O12" s="2"/>
    </row>
    <row r="13" spans="1:16" x14ac:dyDescent="0.25">
      <c r="A13" s="6" t="s">
        <v>11</v>
      </c>
      <c r="B13" s="6"/>
      <c r="C13" s="6"/>
      <c r="D13" s="6"/>
      <c r="E13" s="6"/>
      <c r="F13" s="6"/>
      <c r="G13" s="6"/>
      <c r="H13" s="5"/>
      <c r="I13" s="6" t="s">
        <v>12</v>
      </c>
      <c r="J13" s="6"/>
      <c r="K13" s="6"/>
      <c r="L13" s="6"/>
      <c r="M13" s="6"/>
      <c r="N13" s="6"/>
      <c r="O13" s="6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5"/>
      <c r="I14" s="1" t="s">
        <v>13</v>
      </c>
      <c r="J14" s="2">
        <v>30</v>
      </c>
      <c r="K14" s="2">
        <v>60</v>
      </c>
      <c r="L14" s="2">
        <v>120</v>
      </c>
      <c r="M14" s="2">
        <v>240</v>
      </c>
      <c r="N14" s="2">
        <v>360</v>
      </c>
      <c r="O14" s="2">
        <v>480</v>
      </c>
    </row>
    <row r="15" spans="1:16" x14ac:dyDescent="0.25">
      <c r="A15" s="1" t="s">
        <v>0</v>
      </c>
      <c r="B15" s="2">
        <v>21.672999999999998</v>
      </c>
      <c r="C15" s="2">
        <v>41.167000000000002</v>
      </c>
      <c r="D15" s="2">
        <v>68.201999999999998</v>
      </c>
      <c r="E15" s="2">
        <v>21.35</v>
      </c>
      <c r="F15" s="2">
        <v>58.167999999999999</v>
      </c>
      <c r="G15" s="2">
        <v>51.209000000000003</v>
      </c>
      <c r="H15" t="str">
        <f t="shared" si="0"/>
        <v>43.63±24.57</v>
      </c>
      <c r="I15" s="1" t="s">
        <v>0</v>
      </c>
      <c r="J15" s="2">
        <v>6.3470000000000004</v>
      </c>
      <c r="K15" s="2">
        <v>17.321000000000002</v>
      </c>
      <c r="L15" s="2">
        <v>60.186</v>
      </c>
      <c r="M15" s="2">
        <v>6.2619999999999996</v>
      </c>
      <c r="N15" s="2">
        <v>35.350999999999999</v>
      </c>
      <c r="O15" s="2">
        <v>9.08</v>
      </c>
      <c r="P15" t="str">
        <f t="shared" si="1"/>
        <v>22.42±37.76</v>
      </c>
    </row>
    <row r="16" spans="1:16" x14ac:dyDescent="0.25">
      <c r="A16" s="1" t="s">
        <v>1</v>
      </c>
      <c r="B16" s="2">
        <v>10.492000000000001</v>
      </c>
      <c r="C16" s="2">
        <v>9.8030000000000008</v>
      </c>
      <c r="D16" s="2">
        <v>10.552</v>
      </c>
      <c r="E16" s="2">
        <v>10.351000000000001</v>
      </c>
      <c r="F16" s="2">
        <v>8.8219999999999992</v>
      </c>
      <c r="G16" s="2">
        <v>9.2810000000000006</v>
      </c>
      <c r="H16" t="str">
        <f t="shared" si="0"/>
        <v>9.88±0.67</v>
      </c>
      <c r="I16" s="1" t="s">
        <v>1</v>
      </c>
      <c r="J16" s="2">
        <v>2.6709999999999998</v>
      </c>
      <c r="K16" s="2">
        <v>2.4409999999999998</v>
      </c>
      <c r="L16" s="2">
        <v>2.673</v>
      </c>
      <c r="M16" s="2">
        <v>2.5790000000000002</v>
      </c>
      <c r="N16" s="2">
        <v>2.2280000000000002</v>
      </c>
      <c r="O16" s="2">
        <v>2.351</v>
      </c>
      <c r="P16" t="str">
        <f t="shared" si="1"/>
        <v>2.49±0.18</v>
      </c>
    </row>
    <row r="17" spans="1:16" x14ac:dyDescent="0.25">
      <c r="A17" s="1" t="s">
        <v>2</v>
      </c>
      <c r="B17" s="1">
        <v>13.035</v>
      </c>
      <c r="C17" s="2">
        <v>10.503</v>
      </c>
      <c r="D17" s="2">
        <v>14.708</v>
      </c>
      <c r="E17" s="2">
        <v>10.638999999999999</v>
      </c>
      <c r="F17" s="2">
        <v>9.0329999999999995</v>
      </c>
      <c r="G17" s="2">
        <v>9.1140000000000008</v>
      </c>
      <c r="H17" t="str">
        <f t="shared" si="0"/>
        <v>11.17±3.54</v>
      </c>
      <c r="I17" s="1" t="s">
        <v>2</v>
      </c>
      <c r="J17" s="2">
        <v>3.4710000000000001</v>
      </c>
      <c r="K17" s="2">
        <v>2.6429999999999998</v>
      </c>
      <c r="L17" s="2">
        <v>3.9420000000000002</v>
      </c>
      <c r="M17" s="2">
        <v>2.6680000000000001</v>
      </c>
      <c r="N17" s="2">
        <v>2.2879999999999998</v>
      </c>
      <c r="O17" s="2">
        <v>2.2919999999999998</v>
      </c>
      <c r="P17" t="str">
        <f t="shared" si="1"/>
        <v>2.88±1.06</v>
      </c>
    </row>
    <row r="18" spans="1:16" x14ac:dyDescent="0.25">
      <c r="A18" s="1" t="s">
        <v>3</v>
      </c>
      <c r="B18" s="2">
        <v>13.704000000000001</v>
      </c>
      <c r="C18" s="2">
        <v>11.298999999999999</v>
      </c>
      <c r="D18" s="2">
        <v>11.294</v>
      </c>
      <c r="E18" s="2">
        <v>8.7490000000000006</v>
      </c>
      <c r="F18" s="2">
        <v>9.5299999999999994</v>
      </c>
      <c r="G18" s="2">
        <v>8.8160000000000007</v>
      </c>
      <c r="H18" t="str">
        <f t="shared" si="0"/>
        <v>10.57±3.14</v>
      </c>
      <c r="I18" s="1" t="s">
        <v>3</v>
      </c>
      <c r="J18" s="2">
        <v>3.5640000000000001</v>
      </c>
      <c r="K18" s="2">
        <v>2.63</v>
      </c>
      <c r="L18" s="2">
        <v>2.9769999999999999</v>
      </c>
      <c r="M18" s="2">
        <v>2.1920000000000002</v>
      </c>
      <c r="N18" s="1">
        <v>2.3410000000000002</v>
      </c>
      <c r="O18" s="2">
        <v>2.1970000000000001</v>
      </c>
      <c r="P18" t="str">
        <f t="shared" si="1"/>
        <v>2.65±0.91</v>
      </c>
    </row>
    <row r="19" spans="1:16" x14ac:dyDescent="0.25">
      <c r="A19" s="1" t="s">
        <v>4</v>
      </c>
      <c r="B19" s="2">
        <v>26.93</v>
      </c>
      <c r="C19" s="2">
        <v>18.451000000000001</v>
      </c>
      <c r="D19" s="2">
        <v>28.38</v>
      </c>
      <c r="E19" s="2">
        <v>57.34</v>
      </c>
      <c r="F19" s="2">
        <v>27.254000000000001</v>
      </c>
      <c r="G19" s="2">
        <v>24.28</v>
      </c>
      <c r="H19" t="str">
        <f t="shared" si="0"/>
        <v>30.44±26.90</v>
      </c>
      <c r="I19" s="1" t="s">
        <v>4</v>
      </c>
      <c r="J19" s="2">
        <v>5.9</v>
      </c>
      <c r="K19" s="2">
        <v>5.1989999999999998</v>
      </c>
      <c r="L19" s="2">
        <v>9.7720000000000002</v>
      </c>
      <c r="M19" s="2">
        <v>8.9359999999999999</v>
      </c>
      <c r="N19" s="1">
        <v>5.7080000000000002</v>
      </c>
      <c r="O19" s="2">
        <v>5.1360000000000001</v>
      </c>
      <c r="P19" t="str">
        <f t="shared" si="1"/>
        <v>6.78±3.00</v>
      </c>
    </row>
    <row r="20" spans="1:16" x14ac:dyDescent="0.25">
      <c r="A20" s="1" t="s">
        <v>5</v>
      </c>
      <c r="B20" s="2">
        <v>16.579000000000001</v>
      </c>
      <c r="C20" s="2">
        <v>14.516</v>
      </c>
      <c r="D20" s="2">
        <v>11.055</v>
      </c>
      <c r="E20" s="2">
        <v>10.288</v>
      </c>
      <c r="F20" s="2">
        <v>10.6</v>
      </c>
      <c r="G20" s="2">
        <v>10.536</v>
      </c>
      <c r="H20" t="str">
        <f t="shared" si="0"/>
        <v>12.26±4.32</v>
      </c>
      <c r="I20" s="1" t="s">
        <v>5</v>
      </c>
      <c r="J20" s="2">
        <v>4.5339999999999998</v>
      </c>
      <c r="K20" s="2">
        <v>3.8809999999999998</v>
      </c>
      <c r="L20" s="2">
        <v>2.8079999999999998</v>
      </c>
      <c r="M20" s="2">
        <v>2.5819999999999999</v>
      </c>
      <c r="N20" s="1">
        <v>2.7429999999999999</v>
      </c>
      <c r="O20" s="2">
        <v>2.6120000000000001</v>
      </c>
      <c r="P20" t="str">
        <f t="shared" si="1"/>
        <v>3.19±1.34</v>
      </c>
    </row>
    <row r="21" spans="1:16" x14ac:dyDescent="0.25">
      <c r="A21" s="1" t="s">
        <v>6</v>
      </c>
      <c r="B21" s="2">
        <v>32.43</v>
      </c>
      <c r="C21" s="2">
        <v>48.405999999999999</v>
      </c>
      <c r="D21" s="2">
        <v>26.992999999999999</v>
      </c>
      <c r="E21" s="2">
        <v>23.553999999999998</v>
      </c>
      <c r="F21" s="2">
        <v>25.393000000000001</v>
      </c>
      <c r="G21" s="2">
        <v>14.781000000000001</v>
      </c>
      <c r="H21" t="str">
        <f t="shared" si="0"/>
        <v>28.59±19.81</v>
      </c>
      <c r="I21" s="1" t="s">
        <v>6</v>
      </c>
      <c r="J21" s="2">
        <v>5.798</v>
      </c>
      <c r="K21" s="2">
        <v>23.564</v>
      </c>
      <c r="L21" s="2">
        <v>9.266</v>
      </c>
      <c r="M21" s="2">
        <v>7.8010000000000002</v>
      </c>
      <c r="N21" s="1">
        <v>8.5129999999999999</v>
      </c>
      <c r="O21" s="2">
        <v>3.0350000000000001</v>
      </c>
      <c r="P21" t="str">
        <f t="shared" si="1"/>
        <v>9.66±13.90</v>
      </c>
    </row>
    <row r="22" spans="1:16" x14ac:dyDescent="0.25">
      <c r="A22" s="1" t="s">
        <v>7</v>
      </c>
      <c r="B22" s="2">
        <v>27.395</v>
      </c>
      <c r="C22" s="2">
        <v>28.288</v>
      </c>
      <c r="D22" s="2">
        <v>25.885999999999999</v>
      </c>
      <c r="E22" s="2">
        <v>17.196999999999999</v>
      </c>
      <c r="F22" s="2">
        <v>16.138000000000002</v>
      </c>
      <c r="G22" s="2">
        <v>18.593</v>
      </c>
      <c r="H22" t="str">
        <f t="shared" si="0"/>
        <v>22.25±6.04</v>
      </c>
      <c r="I22" s="1" t="s">
        <v>7</v>
      </c>
      <c r="J22" s="2">
        <v>8.9990000000000006</v>
      </c>
      <c r="K22" s="2">
        <v>9.4879999999999995</v>
      </c>
      <c r="L22" s="2">
        <v>8.343</v>
      </c>
      <c r="M22" s="2">
        <v>5.0789999999999997</v>
      </c>
      <c r="N22" s="1">
        <v>4.806</v>
      </c>
      <c r="O22" s="2">
        <v>5.891</v>
      </c>
      <c r="P22" t="str">
        <f t="shared" si="1"/>
        <v>7.10±2.39</v>
      </c>
    </row>
    <row r="23" spans="1:16" x14ac:dyDescent="0.25">
      <c r="A23" s="1" t="s">
        <v>8</v>
      </c>
      <c r="B23" s="4">
        <v>13.351000000000001</v>
      </c>
      <c r="C23" s="4">
        <v>11.597</v>
      </c>
      <c r="D23" s="4">
        <v>11.494</v>
      </c>
      <c r="E23" s="4">
        <v>11.656000000000001</v>
      </c>
      <c r="F23" s="4">
        <v>11.14</v>
      </c>
      <c r="G23" s="4">
        <v>11.018000000000001</v>
      </c>
      <c r="H23" t="str">
        <f t="shared" si="0"/>
        <v>11.71±1.64</v>
      </c>
      <c r="I23" s="1" t="s">
        <v>8</v>
      </c>
      <c r="J23" s="4">
        <v>3.411</v>
      </c>
      <c r="K23" s="4">
        <v>2.9350000000000001</v>
      </c>
      <c r="L23" s="4">
        <v>2.9279999999999999</v>
      </c>
      <c r="M23" s="4">
        <v>2.907</v>
      </c>
      <c r="N23" s="4">
        <v>2.7850000000000001</v>
      </c>
      <c r="O23" s="4">
        <v>2.7970000000000002</v>
      </c>
      <c r="P23" t="str">
        <f t="shared" si="1"/>
        <v>2.96±0.45</v>
      </c>
    </row>
  </sheetData>
  <mergeCells count="4">
    <mergeCell ref="A1:G1"/>
    <mergeCell ref="I1:O1"/>
    <mergeCell ref="A13:G13"/>
    <mergeCell ref="I13:O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694F-474C-46A6-A9E9-BED21348B95E}">
  <dimension ref="A1:P23"/>
  <sheetViews>
    <sheetView zoomScale="130" zoomScaleNormal="130" workbookViewId="0">
      <selection activeCell="G26" sqref="G26"/>
    </sheetView>
  </sheetViews>
  <sheetFormatPr defaultRowHeight="14.4" x14ac:dyDescent="0.25"/>
  <cols>
    <col min="1" max="1" width="20.33203125" customWidth="1"/>
    <col min="8" max="8" width="17.109375" customWidth="1"/>
    <col min="9" max="9" width="19" customWidth="1"/>
    <col min="16" max="16" width="14.7773437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26.11</v>
      </c>
      <c r="C3" s="2">
        <v>26.509</v>
      </c>
      <c r="D3" s="2">
        <v>17.754000000000001</v>
      </c>
      <c r="E3" s="2">
        <v>17.88</v>
      </c>
      <c r="F3" s="1">
        <v>17.652999999999999</v>
      </c>
      <c r="G3" s="2">
        <v>15.784000000000001</v>
      </c>
      <c r="H3" t="str">
        <f>TEXT(AVERAGE(B3:G3),"0.00")&amp;"±"&amp;TEXT((MAX(B3:G3)-AVERAGE(B3:G3)),"0.00")</f>
        <v>20.28±6.23</v>
      </c>
      <c r="I3" s="1" t="s">
        <v>0</v>
      </c>
      <c r="J3" s="2">
        <v>4.2880000000000003</v>
      </c>
      <c r="K3" s="2">
        <v>4.3470000000000004</v>
      </c>
      <c r="L3" s="2">
        <v>3.7610000000000001</v>
      </c>
      <c r="M3" s="2">
        <v>3.7959999999999998</v>
      </c>
      <c r="N3" s="2">
        <v>3.7290000000000001</v>
      </c>
      <c r="O3" s="2">
        <v>2.895</v>
      </c>
      <c r="P3" t="str">
        <f>TEXT(AVERAGE(J3:O3),"0.00")&amp;"±"&amp;TEXT((MAX(J3:O3)-AVERAGE(J3:O3)),"0.00")</f>
        <v>3.80±0.54</v>
      </c>
    </row>
    <row r="4" spans="1:16" x14ac:dyDescent="0.25">
      <c r="A4" s="1" t="s">
        <v>1</v>
      </c>
      <c r="B4" s="2">
        <v>10.808</v>
      </c>
      <c r="C4" s="2">
        <v>11.577</v>
      </c>
      <c r="D4" s="2">
        <v>12.483000000000001</v>
      </c>
      <c r="E4" s="2">
        <v>11.103</v>
      </c>
      <c r="F4" s="2">
        <v>12.026999999999999</v>
      </c>
      <c r="G4" s="2">
        <v>11.427</v>
      </c>
      <c r="H4" t="str">
        <f t="shared" ref="H4:H23" si="0">TEXT(AVERAGE(B4:G4),"0.00")&amp;"±"&amp;TEXT((MAX(B4:G4)-AVERAGE(B4:G4)),"0.00")</f>
        <v>11.57±0.91</v>
      </c>
      <c r="I4" s="1" t="s">
        <v>1</v>
      </c>
      <c r="J4" s="2">
        <v>1.9850000000000001</v>
      </c>
      <c r="K4" s="2">
        <v>2.12</v>
      </c>
      <c r="L4" s="2">
        <v>2.2709999999999999</v>
      </c>
      <c r="M4" s="2">
        <v>2.044</v>
      </c>
      <c r="N4" s="2">
        <v>2.2130000000000001</v>
      </c>
      <c r="O4" s="2">
        <v>2.0939999999999999</v>
      </c>
      <c r="P4" t="str">
        <f t="shared" ref="P4:P23" si="1">TEXT(AVERAGE(J4:O4),"0.00")&amp;"±"&amp;TEXT((MAX(J4:O4)-AVERAGE(J4:O4)),"0.00")</f>
        <v>2.12±0.15</v>
      </c>
    </row>
    <row r="5" spans="1:16" x14ac:dyDescent="0.25">
      <c r="A5" s="1" t="s">
        <v>2</v>
      </c>
      <c r="B5" s="2">
        <v>11.077</v>
      </c>
      <c r="C5" s="2">
        <v>11.502000000000001</v>
      </c>
      <c r="D5" s="2">
        <v>12.632</v>
      </c>
      <c r="E5" s="2">
        <v>11.795</v>
      </c>
      <c r="F5" s="2">
        <v>11.271000000000001</v>
      </c>
      <c r="G5" s="2">
        <v>11.782</v>
      </c>
      <c r="H5" t="str">
        <f t="shared" si="0"/>
        <v>11.68±0.96</v>
      </c>
      <c r="I5" s="1" t="s">
        <v>2</v>
      </c>
      <c r="J5" s="2">
        <v>2.0550000000000002</v>
      </c>
      <c r="K5" s="2">
        <v>2.141</v>
      </c>
      <c r="L5" s="2">
        <v>2.3039999999999998</v>
      </c>
      <c r="M5" s="2">
        <v>2.181</v>
      </c>
      <c r="N5" s="2">
        <v>2.081</v>
      </c>
      <c r="O5" s="2">
        <v>2.1309999999999998</v>
      </c>
      <c r="P5" t="str">
        <f t="shared" si="1"/>
        <v>2.15±0.16</v>
      </c>
    </row>
    <row r="6" spans="1:16" x14ac:dyDescent="0.25">
      <c r="A6" s="1" t="s">
        <v>3</v>
      </c>
      <c r="B6" s="3">
        <v>11.148999999999999</v>
      </c>
      <c r="C6" s="2">
        <v>12.438000000000001</v>
      </c>
      <c r="D6" s="2">
        <v>12.263</v>
      </c>
      <c r="E6" s="2">
        <v>10.914</v>
      </c>
      <c r="F6" s="2">
        <v>11.951000000000001</v>
      </c>
      <c r="G6" s="2">
        <v>12.207000000000001</v>
      </c>
      <c r="H6" t="str">
        <f t="shared" si="0"/>
        <v>11.82±0.62</v>
      </c>
      <c r="I6" s="1" t="s">
        <v>3</v>
      </c>
      <c r="J6" s="3">
        <v>2.0640000000000001</v>
      </c>
      <c r="K6" s="2">
        <v>2.302</v>
      </c>
      <c r="L6" s="2">
        <v>2.2349999999999999</v>
      </c>
      <c r="M6" s="2">
        <v>2.0169999999999999</v>
      </c>
      <c r="N6" s="1">
        <v>2.1920000000000002</v>
      </c>
      <c r="O6" s="2">
        <v>2.2280000000000002</v>
      </c>
      <c r="P6" t="str">
        <f t="shared" si="1"/>
        <v>2.17±0.13</v>
      </c>
    </row>
    <row r="7" spans="1:16" x14ac:dyDescent="0.25">
      <c r="A7" s="1" t="s">
        <v>4</v>
      </c>
      <c r="B7" s="2">
        <v>11.802</v>
      </c>
      <c r="C7" s="2">
        <v>11.218999999999999</v>
      </c>
      <c r="D7" s="2">
        <v>12.223000000000001</v>
      </c>
      <c r="E7" s="2">
        <v>11.714</v>
      </c>
      <c r="F7" s="2">
        <v>11.749000000000001</v>
      </c>
      <c r="G7" s="2">
        <v>13.340999999999999</v>
      </c>
      <c r="H7" t="str">
        <f t="shared" si="0"/>
        <v>12.01±1.33</v>
      </c>
      <c r="I7" s="1" t="s">
        <v>4</v>
      </c>
      <c r="J7" s="2">
        <v>2.1760000000000002</v>
      </c>
      <c r="K7" s="2">
        <v>2.032</v>
      </c>
      <c r="L7" s="2">
        <v>2.2269999999999999</v>
      </c>
      <c r="M7" s="2">
        <v>2.173</v>
      </c>
      <c r="N7" s="1">
        <v>2.1749999999999998</v>
      </c>
      <c r="O7" s="2">
        <v>2.4380000000000002</v>
      </c>
      <c r="P7" t="str">
        <f t="shared" si="1"/>
        <v>2.20±0.23</v>
      </c>
    </row>
    <row r="8" spans="1:16" x14ac:dyDescent="0.25">
      <c r="A8" s="1" t="s">
        <v>5</v>
      </c>
      <c r="B8" s="2">
        <v>11.586</v>
      </c>
      <c r="C8" s="2">
        <v>11.951000000000001</v>
      </c>
      <c r="D8" s="2">
        <v>13.118</v>
      </c>
      <c r="E8" s="2">
        <v>11.888</v>
      </c>
      <c r="F8" s="2">
        <v>11.458</v>
      </c>
      <c r="G8" s="2">
        <v>11.24</v>
      </c>
      <c r="H8" t="str">
        <f t="shared" si="0"/>
        <v>11.87±1.24</v>
      </c>
      <c r="I8" s="1" t="s">
        <v>5</v>
      </c>
      <c r="J8" s="2">
        <v>2.1589999999999998</v>
      </c>
      <c r="K8" s="2">
        <v>2.1960000000000002</v>
      </c>
      <c r="L8" s="2">
        <v>2.4289999999999998</v>
      </c>
      <c r="M8" s="2">
        <v>2.17</v>
      </c>
      <c r="N8" s="1">
        <v>2.1190000000000002</v>
      </c>
      <c r="O8" s="2">
        <v>2.0529999999999999</v>
      </c>
      <c r="P8" t="str">
        <f t="shared" si="1"/>
        <v>2.19±0.24</v>
      </c>
    </row>
    <row r="9" spans="1:16" x14ac:dyDescent="0.25">
      <c r="A9" s="1" t="s">
        <v>6</v>
      </c>
      <c r="B9" s="2">
        <v>11.574</v>
      </c>
      <c r="C9" s="2">
        <v>10.576000000000001</v>
      </c>
      <c r="D9" s="2">
        <v>10.723000000000001</v>
      </c>
      <c r="E9" s="2">
        <v>11.119</v>
      </c>
      <c r="F9" s="2">
        <v>10.938000000000001</v>
      </c>
      <c r="G9" s="2">
        <v>10.808</v>
      </c>
      <c r="H9" t="str">
        <f t="shared" si="0"/>
        <v>10.96±0.62</v>
      </c>
      <c r="I9" s="1" t="s">
        <v>6</v>
      </c>
      <c r="J9" s="2">
        <v>2.0840000000000001</v>
      </c>
      <c r="K9" s="2">
        <v>1.9330000000000001</v>
      </c>
      <c r="L9" s="2">
        <v>1.9690000000000001</v>
      </c>
      <c r="M9" s="2">
        <v>2.0270000000000001</v>
      </c>
      <c r="N9" s="1">
        <v>2.016</v>
      </c>
      <c r="O9" s="2">
        <v>1.9630000000000001</v>
      </c>
      <c r="P9" t="str">
        <f t="shared" si="1"/>
        <v>2.00±0.09</v>
      </c>
    </row>
    <row r="10" spans="1:16" x14ac:dyDescent="0.25">
      <c r="A10" s="1" t="s">
        <v>7</v>
      </c>
      <c r="B10" s="2">
        <v>11.436</v>
      </c>
      <c r="C10" s="2">
        <v>12.475</v>
      </c>
      <c r="D10" s="2">
        <v>10.94</v>
      </c>
      <c r="E10" s="2">
        <v>11.494999999999999</v>
      </c>
      <c r="F10" s="2">
        <v>10.962</v>
      </c>
      <c r="G10" s="2">
        <v>11.004</v>
      </c>
      <c r="H10" t="str">
        <f t="shared" si="0"/>
        <v>11.39±1.09</v>
      </c>
      <c r="I10" s="1" t="s">
        <v>7</v>
      </c>
      <c r="J10" s="2">
        <v>2.149</v>
      </c>
      <c r="K10" s="2">
        <v>2.2799999999999998</v>
      </c>
      <c r="L10" s="2">
        <v>2.016</v>
      </c>
      <c r="M10" s="2">
        <v>2.1110000000000002</v>
      </c>
      <c r="N10" s="1">
        <v>2.016</v>
      </c>
      <c r="O10" s="2">
        <v>2.0289999999999999</v>
      </c>
      <c r="P10" t="str">
        <f t="shared" si="1"/>
        <v>2.10±0.18</v>
      </c>
    </row>
    <row r="11" spans="1:16" x14ac:dyDescent="0.25">
      <c r="A11" s="1" t="s">
        <v>8</v>
      </c>
      <c r="B11" s="4">
        <v>10.247999999999999</v>
      </c>
      <c r="C11" s="4">
        <v>10.089</v>
      </c>
      <c r="D11" s="4">
        <v>10.034000000000001</v>
      </c>
      <c r="E11" s="4">
        <v>10.021000000000001</v>
      </c>
      <c r="F11" s="4">
        <v>10.090999999999999</v>
      </c>
      <c r="G11" s="4">
        <v>10.138</v>
      </c>
      <c r="H11" t="str">
        <f t="shared" si="0"/>
        <v>10.10±0.14</v>
      </c>
      <c r="I11" s="1" t="s">
        <v>8</v>
      </c>
      <c r="J11" s="4">
        <v>1.881</v>
      </c>
      <c r="K11" s="4">
        <v>1.8480000000000001</v>
      </c>
      <c r="L11" s="4">
        <v>1.837</v>
      </c>
      <c r="M11" s="4">
        <v>1.8320000000000001</v>
      </c>
      <c r="N11" s="4">
        <v>1.8440000000000001</v>
      </c>
      <c r="O11" s="4">
        <v>1.851</v>
      </c>
      <c r="P11" t="str">
        <f t="shared" si="1"/>
        <v>1.85±0.03</v>
      </c>
    </row>
    <row r="12" spans="1:16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1"/>
      <c r="O12" s="2"/>
    </row>
    <row r="13" spans="1:16" x14ac:dyDescent="0.25">
      <c r="A13" s="6" t="s">
        <v>11</v>
      </c>
      <c r="B13" s="6"/>
      <c r="C13" s="6"/>
      <c r="D13" s="6"/>
      <c r="E13" s="6"/>
      <c r="F13" s="6"/>
      <c r="G13" s="6"/>
      <c r="H13" s="5"/>
      <c r="I13" s="6" t="s">
        <v>12</v>
      </c>
      <c r="J13" s="6"/>
      <c r="K13" s="6"/>
      <c r="L13" s="6"/>
      <c r="M13" s="6"/>
      <c r="N13" s="6"/>
      <c r="O13" s="6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5"/>
      <c r="I14" s="1" t="s">
        <v>13</v>
      </c>
      <c r="J14" s="2">
        <v>30</v>
      </c>
      <c r="K14" s="2">
        <v>60</v>
      </c>
      <c r="L14" s="2">
        <v>120</v>
      </c>
      <c r="M14" s="2">
        <v>240</v>
      </c>
      <c r="N14" s="2">
        <v>360</v>
      </c>
      <c r="O14" s="2">
        <v>480</v>
      </c>
    </row>
    <row r="15" spans="1:16" x14ac:dyDescent="0.25">
      <c r="A15" s="1" t="s">
        <v>0</v>
      </c>
      <c r="B15" s="2">
        <v>13.917999999999999</v>
      </c>
      <c r="C15" s="2">
        <v>44.908000000000001</v>
      </c>
      <c r="D15" s="2">
        <v>62.816000000000003</v>
      </c>
      <c r="E15" s="2">
        <v>56.695</v>
      </c>
      <c r="F15" s="2">
        <v>29.010999999999999</v>
      </c>
      <c r="G15" s="2">
        <v>11.176</v>
      </c>
      <c r="H15" t="str">
        <f t="shared" si="0"/>
        <v>36.42±26.40</v>
      </c>
      <c r="I15" s="1" t="s">
        <v>0</v>
      </c>
      <c r="J15" s="2">
        <v>3.5419999999999998</v>
      </c>
      <c r="K15" s="2">
        <v>22.469000000000001</v>
      </c>
      <c r="L15" s="2">
        <v>46.515000000000001</v>
      </c>
      <c r="M15" s="2">
        <v>33.853000000000002</v>
      </c>
      <c r="N15" s="2">
        <v>9.7569999999999997</v>
      </c>
      <c r="O15" s="2">
        <v>2.9350000000000001</v>
      </c>
      <c r="P15" t="str">
        <f t="shared" si="1"/>
        <v>19.85±26.67</v>
      </c>
    </row>
    <row r="16" spans="1:16" x14ac:dyDescent="0.25">
      <c r="A16" s="1" t="s">
        <v>1</v>
      </c>
      <c r="B16" s="2">
        <v>10.032999999999999</v>
      </c>
      <c r="C16" s="2">
        <v>8.8699999999999992</v>
      </c>
      <c r="D16" s="2">
        <v>10.321</v>
      </c>
      <c r="E16" s="2">
        <v>8.8000000000000007</v>
      </c>
      <c r="F16" s="2">
        <v>8.625</v>
      </c>
      <c r="G16" s="2">
        <v>8.5459999999999994</v>
      </c>
      <c r="H16" t="str">
        <f t="shared" si="0"/>
        <v>9.20±1.12</v>
      </c>
      <c r="I16" s="1" t="s">
        <v>1</v>
      </c>
      <c r="J16" s="2">
        <v>2.52</v>
      </c>
      <c r="K16" s="2">
        <v>2.2120000000000002</v>
      </c>
      <c r="L16" s="2">
        <v>2.63</v>
      </c>
      <c r="M16" s="2">
        <v>2.2360000000000002</v>
      </c>
      <c r="N16" s="2">
        <v>2.1840000000000002</v>
      </c>
      <c r="O16" s="2">
        <v>2.1320000000000001</v>
      </c>
      <c r="P16" t="str">
        <f t="shared" si="1"/>
        <v>2.32±0.31</v>
      </c>
    </row>
    <row r="17" spans="1:16" x14ac:dyDescent="0.25">
      <c r="A17" s="1" t="s">
        <v>2</v>
      </c>
      <c r="B17" s="2">
        <v>9.7390000000000008</v>
      </c>
      <c r="C17" s="2">
        <v>9.4710000000000001</v>
      </c>
      <c r="D17" s="2">
        <v>10.167999999999999</v>
      </c>
      <c r="E17" s="2">
        <v>8.9269999999999996</v>
      </c>
      <c r="F17" s="2">
        <v>9.2240000000000002</v>
      </c>
      <c r="G17" s="2">
        <v>8.9339999999999993</v>
      </c>
      <c r="H17" t="str">
        <f t="shared" si="0"/>
        <v>9.41±0.76</v>
      </c>
      <c r="I17" s="1" t="s">
        <v>2</v>
      </c>
      <c r="J17" s="2">
        <v>2.4430000000000001</v>
      </c>
      <c r="K17" s="2">
        <v>2.383</v>
      </c>
      <c r="L17" s="2">
        <v>2.5569999999999999</v>
      </c>
      <c r="M17" s="2">
        <v>2.258</v>
      </c>
      <c r="N17" s="2">
        <v>2.2509999999999999</v>
      </c>
      <c r="O17" s="2">
        <v>2.2589999999999999</v>
      </c>
      <c r="P17" t="str">
        <f t="shared" si="1"/>
        <v>2.36±0.20</v>
      </c>
    </row>
    <row r="18" spans="1:16" x14ac:dyDescent="0.25">
      <c r="A18" s="1" t="s">
        <v>3</v>
      </c>
      <c r="B18" s="2">
        <v>13.176</v>
      </c>
      <c r="C18" s="2">
        <v>11.266</v>
      </c>
      <c r="D18" s="2">
        <v>9.3680000000000003</v>
      </c>
      <c r="E18" s="2">
        <v>9.0370000000000008</v>
      </c>
      <c r="F18" s="2">
        <v>9.0850000000000009</v>
      </c>
      <c r="G18" s="2">
        <v>8.8089999999999993</v>
      </c>
      <c r="H18" t="str">
        <f t="shared" si="0"/>
        <v>10.12±3.05</v>
      </c>
      <c r="I18" s="1" t="s">
        <v>3</v>
      </c>
      <c r="J18" s="2">
        <v>3.347</v>
      </c>
      <c r="K18" s="2">
        <v>2.8250000000000002</v>
      </c>
      <c r="L18" s="2">
        <v>2.34</v>
      </c>
      <c r="M18" s="2">
        <v>2.1970000000000001</v>
      </c>
      <c r="N18" s="1">
        <v>2.2290000000000001</v>
      </c>
      <c r="O18" s="2">
        <v>2.1800000000000002</v>
      </c>
      <c r="P18" t="str">
        <f t="shared" si="1"/>
        <v>2.52±0.83</v>
      </c>
    </row>
    <row r="19" spans="1:16" x14ac:dyDescent="0.25">
      <c r="A19" s="1" t="s">
        <v>4</v>
      </c>
      <c r="B19" s="2">
        <v>24.431000000000001</v>
      </c>
      <c r="C19" s="2">
        <v>22.33</v>
      </c>
      <c r="D19" s="2">
        <v>15.747999999999999</v>
      </c>
      <c r="E19" s="2">
        <v>31.896000000000001</v>
      </c>
      <c r="F19" s="2">
        <v>20.074000000000002</v>
      </c>
      <c r="G19" s="2">
        <v>26.009</v>
      </c>
      <c r="H19" t="str">
        <f t="shared" si="0"/>
        <v>23.41±8.48</v>
      </c>
      <c r="I19" s="1" t="s">
        <v>4</v>
      </c>
      <c r="J19" s="2">
        <v>5.4710000000000001</v>
      </c>
      <c r="K19" s="2">
        <v>5.0819999999999999</v>
      </c>
      <c r="L19" s="2">
        <v>3.8559999999999999</v>
      </c>
      <c r="M19" s="2">
        <v>6.3150000000000004</v>
      </c>
      <c r="N19" s="1">
        <v>4.5780000000000003</v>
      </c>
      <c r="O19" s="2">
        <v>5.6660000000000004</v>
      </c>
      <c r="P19" t="str">
        <f t="shared" si="1"/>
        <v>5.16±1.15</v>
      </c>
    </row>
    <row r="20" spans="1:16" x14ac:dyDescent="0.25">
      <c r="A20" s="1" t="s">
        <v>5</v>
      </c>
      <c r="B20" s="2">
        <v>13.97</v>
      </c>
      <c r="C20" s="2">
        <v>10.457000000000001</v>
      </c>
      <c r="D20" s="2">
        <v>12.919</v>
      </c>
      <c r="E20" s="2">
        <v>9.8490000000000002</v>
      </c>
      <c r="F20" s="2">
        <v>9.8520000000000003</v>
      </c>
      <c r="G20" s="2">
        <v>9.7769999999999992</v>
      </c>
      <c r="H20" t="str">
        <f t="shared" si="0"/>
        <v>11.14±2.83</v>
      </c>
      <c r="I20" s="1" t="s">
        <v>5</v>
      </c>
      <c r="J20" s="2">
        <v>3.375</v>
      </c>
      <c r="K20" s="2">
        <v>2.653</v>
      </c>
      <c r="L20" s="2">
        <v>3.4470000000000001</v>
      </c>
      <c r="M20" s="2">
        <v>2.4449999999999998</v>
      </c>
      <c r="N20" s="1">
        <v>2.4289999999999998</v>
      </c>
      <c r="O20" s="2">
        <v>2.387</v>
      </c>
      <c r="P20" t="str">
        <f t="shared" si="1"/>
        <v>2.79±0.66</v>
      </c>
    </row>
    <row r="21" spans="1:16" x14ac:dyDescent="0.25">
      <c r="A21" s="1" t="s">
        <v>6</v>
      </c>
      <c r="B21" s="2">
        <v>18.53</v>
      </c>
      <c r="C21" s="2">
        <v>67.558999999999997</v>
      </c>
      <c r="D21" s="2">
        <v>71.924999999999997</v>
      </c>
      <c r="E21" s="2">
        <v>40.192</v>
      </c>
      <c r="F21" s="2">
        <v>26.731999999999999</v>
      </c>
      <c r="G21" s="2">
        <v>10.853</v>
      </c>
      <c r="H21" t="str">
        <f t="shared" si="0"/>
        <v>39.30±32.63</v>
      </c>
      <c r="I21" s="1" t="s">
        <v>6</v>
      </c>
      <c r="J21" s="2">
        <v>3.871</v>
      </c>
      <c r="K21" s="2">
        <v>9.6300000000000008</v>
      </c>
      <c r="L21" s="2">
        <v>9.8239999999999998</v>
      </c>
      <c r="M21" s="2">
        <v>6.516</v>
      </c>
      <c r="N21" s="1">
        <v>4.968</v>
      </c>
      <c r="O21" s="2">
        <v>2.8849999999999998</v>
      </c>
      <c r="P21" t="str">
        <f t="shared" si="1"/>
        <v>6.28±3.54</v>
      </c>
    </row>
    <row r="22" spans="1:16" x14ac:dyDescent="0.25">
      <c r="A22" s="1" t="s">
        <v>7</v>
      </c>
      <c r="B22" s="2">
        <v>11.477</v>
      </c>
      <c r="C22" s="2">
        <v>16.024999999999999</v>
      </c>
      <c r="D22" s="2">
        <v>18.841000000000001</v>
      </c>
      <c r="E22" s="2">
        <v>12.061999999999999</v>
      </c>
      <c r="F22" s="2">
        <v>10.715</v>
      </c>
      <c r="G22" s="2">
        <v>12.75</v>
      </c>
      <c r="H22" t="str">
        <f t="shared" si="0"/>
        <v>13.65±5.20</v>
      </c>
      <c r="I22" s="1" t="s">
        <v>7</v>
      </c>
      <c r="J22" s="2">
        <v>2.911</v>
      </c>
      <c r="K22" s="2">
        <v>4.3890000000000002</v>
      </c>
      <c r="L22" s="2">
        <v>5.3120000000000003</v>
      </c>
      <c r="M22" s="2">
        <v>3.2759999999999998</v>
      </c>
      <c r="N22" s="1">
        <v>2.8879999999999999</v>
      </c>
      <c r="O22" s="2">
        <v>3.569</v>
      </c>
      <c r="P22" t="str">
        <f t="shared" si="1"/>
        <v>3.72±1.59</v>
      </c>
    </row>
    <row r="23" spans="1:16" x14ac:dyDescent="0.25">
      <c r="A23" s="1" t="s">
        <v>8</v>
      </c>
      <c r="B23" s="4">
        <v>8.8729999999999993</v>
      </c>
      <c r="C23" s="4">
        <v>8.4250000000000007</v>
      </c>
      <c r="D23" s="4">
        <v>8.2230000000000008</v>
      </c>
      <c r="E23" s="4">
        <v>8.1289999999999996</v>
      </c>
      <c r="F23" s="4">
        <v>8.0009999999999994</v>
      </c>
      <c r="G23" s="4">
        <v>8.1690000000000005</v>
      </c>
      <c r="H23" t="str">
        <f t="shared" si="0"/>
        <v>8.30±0.57</v>
      </c>
      <c r="I23" s="1" t="s">
        <v>8</v>
      </c>
      <c r="J23" s="4">
        <v>2.234</v>
      </c>
      <c r="K23" s="4">
        <v>2.1280000000000001</v>
      </c>
      <c r="L23" s="4">
        <v>2.0859999999999999</v>
      </c>
      <c r="M23" s="4">
        <v>2.0569999999999999</v>
      </c>
      <c r="N23" s="4">
        <v>2.0249999999999999</v>
      </c>
      <c r="O23" s="4">
        <v>2.0840000000000001</v>
      </c>
      <c r="P23" t="str">
        <f t="shared" si="1"/>
        <v>2.10±0.13</v>
      </c>
    </row>
  </sheetData>
  <mergeCells count="4">
    <mergeCell ref="A1:G1"/>
    <mergeCell ref="I1:O1"/>
    <mergeCell ref="A13:G13"/>
    <mergeCell ref="I13:O1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zoomScale="130" zoomScaleNormal="130" workbookViewId="0">
      <selection activeCell="F26" sqref="F26"/>
    </sheetView>
  </sheetViews>
  <sheetFormatPr defaultColWidth="9" defaultRowHeight="14.4" x14ac:dyDescent="0.25"/>
  <cols>
    <col min="1" max="1" width="20.77734375" customWidth="1"/>
    <col min="8" max="8" width="14.5546875" customWidth="1"/>
    <col min="9" max="9" width="18.88671875" customWidth="1"/>
    <col min="16" max="16" width="14.10937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24.940999999999999</v>
      </c>
      <c r="C3" s="2">
        <v>17.399000000000001</v>
      </c>
      <c r="D3" s="2">
        <v>15.528</v>
      </c>
      <c r="E3" s="2">
        <v>12.401</v>
      </c>
      <c r="F3" s="1">
        <v>17.25</v>
      </c>
      <c r="G3" s="2">
        <v>17.582000000000001</v>
      </c>
      <c r="H3" t="str">
        <f>TEXT(AVERAGE(B3:G3),"0.00")&amp;"±"&amp;TEXT((MAX(B3:G3)-AVERAGE(B3:G3)),"0.00")</f>
        <v>17.52±7.42</v>
      </c>
      <c r="I3" s="1" t="s">
        <v>0</v>
      </c>
      <c r="J3" s="2">
        <v>4.1449999999999996</v>
      </c>
      <c r="K3" s="2">
        <v>3.6669999999999998</v>
      </c>
      <c r="L3" s="2">
        <v>3.1219999999999999</v>
      </c>
      <c r="M3" s="2">
        <v>2.3079999999999998</v>
      </c>
      <c r="N3" s="2">
        <v>3.609</v>
      </c>
      <c r="O3" s="2">
        <v>3.1840000000000002</v>
      </c>
      <c r="P3" t="str">
        <f>TEXT(AVERAGE(J3:O3),"0.00")&amp;"±"&amp;TEXT((MAX(J3:O3)-AVERAGE(J3:O3)),"0.00")</f>
        <v>3.34±0.81</v>
      </c>
    </row>
    <row r="4" spans="1:16" x14ac:dyDescent="0.25">
      <c r="A4" s="1" t="s">
        <v>1</v>
      </c>
      <c r="B4" s="2">
        <v>11.071999999999999</v>
      </c>
      <c r="C4" s="2">
        <v>11.079000000000001</v>
      </c>
      <c r="D4" s="2">
        <v>12.634</v>
      </c>
      <c r="E4" s="2">
        <v>10.818</v>
      </c>
      <c r="F4" s="2">
        <v>11.295</v>
      </c>
      <c r="G4" s="2">
        <v>11.247</v>
      </c>
      <c r="H4" t="str">
        <f t="shared" ref="H4:H23" si="0">TEXT(AVERAGE(B4:G4),"0.00")&amp;"±"&amp;TEXT((MAX(B4:G4)-AVERAGE(B4:G4)),"0.00")</f>
        <v>11.36±1.28</v>
      </c>
      <c r="I4" s="1" t="s">
        <v>1</v>
      </c>
      <c r="J4" s="2">
        <v>2.052</v>
      </c>
      <c r="K4" s="2">
        <v>2.0459999999999998</v>
      </c>
      <c r="L4" s="2">
        <v>2.3069999999999999</v>
      </c>
      <c r="M4" s="2">
        <v>1.982</v>
      </c>
      <c r="N4" s="2">
        <v>2.0609999999999999</v>
      </c>
      <c r="O4" s="2">
        <v>2.044</v>
      </c>
      <c r="P4" t="str">
        <f t="shared" ref="P4:P23" si="1">TEXT(AVERAGE(J4:O4),"0.00")&amp;"±"&amp;TEXT((MAX(J4:O4)-AVERAGE(J4:O4)),"0.00")</f>
        <v>2.08±0.23</v>
      </c>
    </row>
    <row r="5" spans="1:16" x14ac:dyDescent="0.25">
      <c r="A5" s="1" t="s">
        <v>2</v>
      </c>
      <c r="B5" s="2">
        <v>11.15</v>
      </c>
      <c r="C5" s="2">
        <v>10.319000000000001</v>
      </c>
      <c r="D5" s="2">
        <v>11.641</v>
      </c>
      <c r="E5" s="2">
        <v>11.536</v>
      </c>
      <c r="F5" s="2">
        <v>11.423999999999999</v>
      </c>
      <c r="G5" s="2">
        <v>11.417</v>
      </c>
      <c r="H5" t="str">
        <f t="shared" si="0"/>
        <v>11.25±0.39</v>
      </c>
      <c r="I5" s="1" t="s">
        <v>2</v>
      </c>
      <c r="J5" s="2">
        <v>2.073</v>
      </c>
      <c r="K5" s="2">
        <v>1.887</v>
      </c>
      <c r="L5" s="2">
        <v>2.153</v>
      </c>
      <c r="M5" s="2">
        <v>2.1389999999999998</v>
      </c>
      <c r="N5" s="2">
        <v>2.093</v>
      </c>
      <c r="O5" s="2">
        <v>2.0819999999999999</v>
      </c>
      <c r="P5" t="str">
        <f t="shared" si="1"/>
        <v>2.07±0.08</v>
      </c>
    </row>
    <row r="6" spans="1:16" x14ac:dyDescent="0.25">
      <c r="A6" s="1" t="s">
        <v>3</v>
      </c>
      <c r="B6" s="3">
        <v>11.066000000000001</v>
      </c>
      <c r="C6" s="2">
        <v>10.913</v>
      </c>
      <c r="D6" s="2">
        <v>11.141</v>
      </c>
      <c r="E6" s="2">
        <v>10.948</v>
      </c>
      <c r="F6" s="2">
        <v>12.173</v>
      </c>
      <c r="G6" s="2">
        <v>11.672000000000001</v>
      </c>
      <c r="H6" t="str">
        <f t="shared" si="0"/>
        <v>11.32±0.85</v>
      </c>
      <c r="I6" s="1" t="s">
        <v>3</v>
      </c>
      <c r="J6" s="3">
        <v>2.044</v>
      </c>
      <c r="K6" s="2">
        <v>1.9930000000000001</v>
      </c>
      <c r="L6" s="2">
        <v>2.0979999999999999</v>
      </c>
      <c r="M6" s="2">
        <v>2.012</v>
      </c>
      <c r="N6" s="1">
        <v>2.2250000000000001</v>
      </c>
      <c r="O6" s="2">
        <v>2.145</v>
      </c>
      <c r="P6" t="str">
        <f t="shared" si="1"/>
        <v>2.09±0.14</v>
      </c>
    </row>
    <row r="7" spans="1:16" x14ac:dyDescent="0.25">
      <c r="A7" s="1" t="s">
        <v>4</v>
      </c>
      <c r="B7" s="2">
        <v>11.581</v>
      </c>
      <c r="C7" s="2">
        <v>12.228</v>
      </c>
      <c r="D7" s="2">
        <v>11.784000000000001</v>
      </c>
      <c r="E7" s="2">
        <v>12.618</v>
      </c>
      <c r="F7" s="2">
        <v>12.005000000000001</v>
      </c>
      <c r="G7" s="2">
        <v>12.536</v>
      </c>
      <c r="H7" t="str">
        <f t="shared" si="0"/>
        <v>12.13±0.49</v>
      </c>
      <c r="I7" s="1" t="s">
        <v>4</v>
      </c>
      <c r="J7" s="2">
        <v>2.141</v>
      </c>
      <c r="K7" s="2">
        <v>2.2189999999999999</v>
      </c>
      <c r="L7" s="2">
        <v>2.214</v>
      </c>
      <c r="M7" s="2">
        <v>2.298</v>
      </c>
      <c r="N7" s="1">
        <v>2.21</v>
      </c>
      <c r="O7" s="2">
        <v>2.3380000000000001</v>
      </c>
      <c r="P7" t="str">
        <f t="shared" si="1"/>
        <v>2.24±0.10</v>
      </c>
    </row>
    <row r="8" spans="1:16" x14ac:dyDescent="0.25">
      <c r="A8" s="1" t="s">
        <v>5</v>
      </c>
      <c r="B8" s="2">
        <v>11.653</v>
      </c>
      <c r="C8" s="2">
        <v>12.826000000000001</v>
      </c>
      <c r="D8" s="2">
        <v>11.602</v>
      </c>
      <c r="E8" s="2">
        <v>10.895</v>
      </c>
      <c r="F8" s="2">
        <v>11.968</v>
      </c>
      <c r="G8" s="2">
        <v>11.398</v>
      </c>
      <c r="H8" t="str">
        <f t="shared" si="0"/>
        <v>11.72±1.10</v>
      </c>
      <c r="I8" s="1" t="s">
        <v>5</v>
      </c>
      <c r="J8" s="2">
        <v>2.145</v>
      </c>
      <c r="K8" s="2">
        <v>2.3210000000000002</v>
      </c>
      <c r="L8" s="2">
        <v>2.1280000000000001</v>
      </c>
      <c r="M8" s="2">
        <v>2.012</v>
      </c>
      <c r="N8" s="1">
        <v>2.2480000000000002</v>
      </c>
      <c r="O8" s="2">
        <v>2.0760000000000001</v>
      </c>
      <c r="P8" t="str">
        <f t="shared" si="1"/>
        <v>2.16±0.17</v>
      </c>
    </row>
    <row r="9" spans="1:16" x14ac:dyDescent="0.25">
      <c r="A9" s="1" t="s">
        <v>6</v>
      </c>
      <c r="B9" s="2">
        <v>11.202999999999999</v>
      </c>
      <c r="C9" s="2">
        <v>10.635</v>
      </c>
      <c r="D9" s="2">
        <v>10.863</v>
      </c>
      <c r="E9" s="2">
        <v>10.814</v>
      </c>
      <c r="F9" s="2">
        <v>10.711</v>
      </c>
      <c r="G9" s="2">
        <v>10.791</v>
      </c>
      <c r="H9" t="str">
        <f t="shared" si="0"/>
        <v>10.84±0.37</v>
      </c>
      <c r="I9" s="1" t="s">
        <v>6</v>
      </c>
      <c r="J9" s="2">
        <v>2.0310000000000001</v>
      </c>
      <c r="K9" s="2">
        <v>1.9339999999999999</v>
      </c>
      <c r="L9" s="2">
        <v>1.9910000000000001</v>
      </c>
      <c r="M9" s="2">
        <v>1.9790000000000001</v>
      </c>
      <c r="N9" s="1">
        <v>1.9450000000000001</v>
      </c>
      <c r="O9" s="2">
        <v>1.97</v>
      </c>
      <c r="P9" t="str">
        <f t="shared" si="1"/>
        <v>1.98±0.06</v>
      </c>
    </row>
    <row r="10" spans="1:16" x14ac:dyDescent="0.25">
      <c r="A10" s="1" t="s">
        <v>7</v>
      </c>
      <c r="B10" s="2">
        <v>11.420999999999999</v>
      </c>
      <c r="C10" s="2">
        <v>12.146000000000001</v>
      </c>
      <c r="D10" s="2">
        <v>10.866</v>
      </c>
      <c r="E10" s="2">
        <v>11.285</v>
      </c>
      <c r="F10" s="2">
        <v>11.01</v>
      </c>
      <c r="G10" s="2">
        <v>11.065</v>
      </c>
      <c r="H10" t="str">
        <f t="shared" si="0"/>
        <v>11.30±0.85</v>
      </c>
      <c r="I10" s="1" t="s">
        <v>7</v>
      </c>
      <c r="J10" s="2">
        <v>2.1349999999999998</v>
      </c>
      <c r="K10" s="2">
        <v>2.2050000000000001</v>
      </c>
      <c r="L10" s="2">
        <v>2.0009999999999999</v>
      </c>
      <c r="M10" s="2">
        <v>2.0680000000000001</v>
      </c>
      <c r="N10" s="1">
        <v>2.024</v>
      </c>
      <c r="O10" s="2">
        <v>2.0369999999999999</v>
      </c>
      <c r="P10" t="str">
        <f t="shared" si="1"/>
        <v>2.08±0.13</v>
      </c>
    </row>
    <row r="11" spans="1:16" x14ac:dyDescent="0.25">
      <c r="A11" s="1" t="s">
        <v>8</v>
      </c>
      <c r="B11" s="4">
        <v>10.225</v>
      </c>
      <c r="C11" s="4">
        <v>10.089</v>
      </c>
      <c r="D11" s="4">
        <v>10.036</v>
      </c>
      <c r="E11" s="4">
        <v>10.009</v>
      </c>
      <c r="F11" s="4">
        <v>10.081</v>
      </c>
      <c r="G11" s="4">
        <v>10.06</v>
      </c>
      <c r="H11" t="str">
        <f t="shared" si="0"/>
        <v>10.08±0.14</v>
      </c>
      <c r="I11" s="1" t="s">
        <v>8</v>
      </c>
      <c r="J11" s="4">
        <v>1.8819999999999999</v>
      </c>
      <c r="K11" s="4">
        <v>1.8480000000000001</v>
      </c>
      <c r="L11" s="4">
        <v>1.835</v>
      </c>
      <c r="M11" s="4">
        <v>1.829</v>
      </c>
      <c r="N11" s="4">
        <v>1.8420000000000001</v>
      </c>
      <c r="O11" s="4">
        <v>1.8360000000000001</v>
      </c>
      <c r="P11" t="str">
        <f t="shared" si="1"/>
        <v>1.85±0.04</v>
      </c>
    </row>
    <row r="12" spans="1:16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1"/>
      <c r="O12" s="2"/>
    </row>
    <row r="13" spans="1:16" x14ac:dyDescent="0.25">
      <c r="A13" s="6" t="s">
        <v>11</v>
      </c>
      <c r="B13" s="6"/>
      <c r="C13" s="6"/>
      <c r="D13" s="6"/>
      <c r="E13" s="6"/>
      <c r="F13" s="6"/>
      <c r="G13" s="6"/>
      <c r="H13" s="5"/>
      <c r="I13" s="6" t="s">
        <v>12</v>
      </c>
      <c r="J13" s="6"/>
      <c r="K13" s="6"/>
      <c r="L13" s="6"/>
      <c r="M13" s="6"/>
      <c r="N13" s="6"/>
      <c r="O13" s="6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5"/>
      <c r="I14" s="1" t="s">
        <v>13</v>
      </c>
      <c r="J14" s="2">
        <v>30</v>
      </c>
      <c r="K14" s="2">
        <v>60</v>
      </c>
      <c r="L14" s="2">
        <v>120</v>
      </c>
      <c r="M14" s="2">
        <v>240</v>
      </c>
      <c r="N14" s="2">
        <v>360</v>
      </c>
      <c r="O14" s="2">
        <v>480</v>
      </c>
    </row>
    <row r="15" spans="1:16" x14ac:dyDescent="0.25">
      <c r="A15" s="1" t="s">
        <v>0</v>
      </c>
      <c r="B15" s="2">
        <v>14.010999999999999</v>
      </c>
      <c r="C15" s="2">
        <v>56.277000000000001</v>
      </c>
      <c r="D15" s="2">
        <v>55.374000000000002</v>
      </c>
      <c r="E15" s="2">
        <v>50.850999999999999</v>
      </c>
      <c r="F15" s="2">
        <v>24.895</v>
      </c>
      <c r="G15" s="2">
        <v>11.205</v>
      </c>
      <c r="H15" t="str">
        <f t="shared" si="0"/>
        <v>35.44±20.84</v>
      </c>
      <c r="I15" s="1" t="s">
        <v>0</v>
      </c>
      <c r="J15" s="2">
        <v>3.5640000000000001</v>
      </c>
      <c r="K15" s="2">
        <v>36.866</v>
      </c>
      <c r="L15" s="2">
        <v>33.442</v>
      </c>
      <c r="M15" s="2">
        <v>26.428000000000001</v>
      </c>
      <c r="N15" s="2">
        <v>7.8070000000000004</v>
      </c>
      <c r="O15" s="2">
        <v>2.9529999999999998</v>
      </c>
      <c r="P15" t="str">
        <f t="shared" si="1"/>
        <v>18.51±18.36</v>
      </c>
    </row>
    <row r="16" spans="1:16" x14ac:dyDescent="0.25">
      <c r="A16" s="1" t="s">
        <v>1</v>
      </c>
      <c r="B16" s="2">
        <v>9.9390000000000001</v>
      </c>
      <c r="C16" s="2">
        <v>8.8439999999999994</v>
      </c>
      <c r="D16" s="2">
        <v>10.162000000000001</v>
      </c>
      <c r="E16" s="2">
        <v>8.5079999999999991</v>
      </c>
      <c r="F16" s="2">
        <v>8.6839999999999993</v>
      </c>
      <c r="G16" s="2">
        <v>8.5220000000000002</v>
      </c>
      <c r="H16" t="str">
        <f t="shared" si="0"/>
        <v>9.11±1.05</v>
      </c>
      <c r="I16" s="1" t="s">
        <v>1</v>
      </c>
      <c r="J16" s="2">
        <v>2.5259999999999998</v>
      </c>
      <c r="K16" s="2">
        <v>2.1850000000000001</v>
      </c>
      <c r="L16" s="2">
        <v>2.5720000000000001</v>
      </c>
      <c r="M16" s="2">
        <v>2.157</v>
      </c>
      <c r="N16" s="2">
        <v>2.1709999999999998</v>
      </c>
      <c r="O16" s="2">
        <v>2.1139999999999999</v>
      </c>
      <c r="P16" t="str">
        <f t="shared" si="1"/>
        <v>2.29±0.28</v>
      </c>
    </row>
    <row r="17" spans="1:16" x14ac:dyDescent="0.25">
      <c r="A17" s="1" t="s">
        <v>2</v>
      </c>
      <c r="B17" s="2">
        <v>9.6890000000000001</v>
      </c>
      <c r="C17" s="2">
        <v>10.143000000000001</v>
      </c>
      <c r="D17" s="2">
        <v>9.1630000000000003</v>
      </c>
      <c r="E17" s="2">
        <v>8.9589999999999996</v>
      </c>
      <c r="F17" s="2">
        <v>8.8650000000000002</v>
      </c>
      <c r="G17" s="2">
        <v>8.8780000000000001</v>
      </c>
      <c r="H17" t="str">
        <f t="shared" si="0"/>
        <v>9.28±0.86</v>
      </c>
      <c r="I17" s="1" t="s">
        <v>2</v>
      </c>
      <c r="J17" s="2">
        <v>2.38</v>
      </c>
      <c r="K17" s="2">
        <v>2.5640000000000001</v>
      </c>
      <c r="L17" s="2">
        <v>2.2799999999999998</v>
      </c>
      <c r="M17" s="2">
        <v>2.2810000000000001</v>
      </c>
      <c r="N17" s="2">
        <v>2.2490000000000001</v>
      </c>
      <c r="O17" s="2">
        <v>2.2400000000000002</v>
      </c>
      <c r="P17" t="str">
        <f t="shared" si="1"/>
        <v>2.33±0.23</v>
      </c>
    </row>
    <row r="18" spans="1:16" x14ac:dyDescent="0.25">
      <c r="A18" s="1" t="s">
        <v>3</v>
      </c>
      <c r="B18" s="2">
        <v>13.952999999999999</v>
      </c>
      <c r="C18" s="2">
        <v>9.7230000000000008</v>
      </c>
      <c r="D18" s="2">
        <v>10.206</v>
      </c>
      <c r="E18" s="2">
        <v>9.0879999999999992</v>
      </c>
      <c r="F18" s="2">
        <v>9.2210000000000001</v>
      </c>
      <c r="G18" s="2">
        <v>8.7750000000000004</v>
      </c>
      <c r="H18" t="str">
        <f t="shared" si="0"/>
        <v>10.16±3.79</v>
      </c>
      <c r="I18" s="1" t="s">
        <v>3</v>
      </c>
      <c r="J18" s="2">
        <v>3.456</v>
      </c>
      <c r="K18" s="2">
        <v>2.4649999999999999</v>
      </c>
      <c r="L18" s="2">
        <v>2.5960000000000001</v>
      </c>
      <c r="M18" s="2">
        <v>2.2429999999999999</v>
      </c>
      <c r="N18" s="1">
        <v>2.3279999999999998</v>
      </c>
      <c r="O18" s="2">
        <v>2.17</v>
      </c>
      <c r="P18" t="str">
        <f t="shared" si="1"/>
        <v>2.54±0.91</v>
      </c>
    </row>
    <row r="19" spans="1:16" x14ac:dyDescent="0.25">
      <c r="A19" s="1" t="s">
        <v>4</v>
      </c>
      <c r="B19" s="2">
        <v>21.373000000000001</v>
      </c>
      <c r="C19" s="2">
        <v>15.297000000000001</v>
      </c>
      <c r="D19" s="2">
        <v>14.315</v>
      </c>
      <c r="E19" s="2">
        <v>31.123000000000001</v>
      </c>
      <c r="F19" s="2">
        <v>22.129000000000001</v>
      </c>
      <c r="G19" s="2">
        <v>21.524000000000001</v>
      </c>
      <c r="H19" t="str">
        <f t="shared" si="0"/>
        <v>20.96±10.16</v>
      </c>
      <c r="I19" s="1" t="s">
        <v>4</v>
      </c>
      <c r="J19" s="2">
        <v>5.0279999999999996</v>
      </c>
      <c r="K19" s="2">
        <v>3.7930000000000001</v>
      </c>
      <c r="L19" s="2">
        <v>3.738</v>
      </c>
      <c r="M19" s="2">
        <v>6.2590000000000003</v>
      </c>
      <c r="N19" s="1">
        <v>4.9960000000000004</v>
      </c>
      <c r="O19" s="2">
        <v>4.9749999999999996</v>
      </c>
      <c r="P19" t="str">
        <f t="shared" si="1"/>
        <v>4.80±1.46</v>
      </c>
    </row>
    <row r="20" spans="1:16" x14ac:dyDescent="0.25">
      <c r="A20" s="1" t="s">
        <v>5</v>
      </c>
      <c r="B20" s="2">
        <v>12.942</v>
      </c>
      <c r="C20" s="2">
        <v>14.271000000000001</v>
      </c>
      <c r="D20" s="2">
        <v>10.347</v>
      </c>
      <c r="E20" s="2">
        <v>9.6660000000000004</v>
      </c>
      <c r="F20" s="2">
        <v>10.16</v>
      </c>
      <c r="G20" s="2">
        <v>9.484</v>
      </c>
      <c r="H20" t="str">
        <f t="shared" si="0"/>
        <v>11.15±3.13</v>
      </c>
      <c r="I20" s="1" t="s">
        <v>5</v>
      </c>
      <c r="J20" s="2">
        <v>3.234</v>
      </c>
      <c r="K20" s="2">
        <v>3.5059999999999998</v>
      </c>
      <c r="L20" s="2">
        <v>2.6059999999999999</v>
      </c>
      <c r="M20" s="2">
        <v>2.3940000000000001</v>
      </c>
      <c r="N20" s="1">
        <v>2.4540000000000002</v>
      </c>
      <c r="O20" s="2">
        <v>2.3929999999999998</v>
      </c>
      <c r="P20" t="str">
        <f t="shared" si="1"/>
        <v>2.76±0.74</v>
      </c>
    </row>
    <row r="21" spans="1:16" x14ac:dyDescent="0.25">
      <c r="A21" s="1" t="s">
        <v>6</v>
      </c>
      <c r="B21" s="2">
        <v>11.848000000000001</v>
      </c>
      <c r="C21" s="2">
        <v>46.344000000000001</v>
      </c>
      <c r="D21" s="2">
        <v>18.731000000000002</v>
      </c>
      <c r="E21" s="2">
        <v>16.626999999999999</v>
      </c>
      <c r="F21" s="2">
        <v>9.9359999999999999</v>
      </c>
      <c r="G21" s="2">
        <v>11.343999999999999</v>
      </c>
      <c r="H21" t="str">
        <f t="shared" si="0"/>
        <v>19.14±27.21</v>
      </c>
      <c r="I21" s="1" t="s">
        <v>6</v>
      </c>
      <c r="J21" s="2">
        <v>2.8730000000000002</v>
      </c>
      <c r="K21" s="2">
        <v>7.1310000000000002</v>
      </c>
      <c r="L21" s="2">
        <v>5.4480000000000004</v>
      </c>
      <c r="M21" s="2">
        <v>3.3359999999999999</v>
      </c>
      <c r="N21" s="1">
        <v>2.5169999999999999</v>
      </c>
      <c r="O21" s="2">
        <v>2.9620000000000002</v>
      </c>
      <c r="P21" t="str">
        <f t="shared" si="1"/>
        <v>4.04±3.09</v>
      </c>
    </row>
    <row r="22" spans="1:16" x14ac:dyDescent="0.25">
      <c r="A22" s="1" t="s">
        <v>7</v>
      </c>
      <c r="B22" s="2">
        <v>13.89</v>
      </c>
      <c r="C22" s="2">
        <v>12.035</v>
      </c>
      <c r="D22" s="2">
        <v>14.823</v>
      </c>
      <c r="E22" s="2">
        <v>12.393000000000001</v>
      </c>
      <c r="F22" s="2">
        <v>12.093</v>
      </c>
      <c r="G22" s="2">
        <v>11.153</v>
      </c>
      <c r="H22" t="str">
        <f t="shared" si="0"/>
        <v>12.73±2.09</v>
      </c>
      <c r="I22" s="1" t="s">
        <v>7</v>
      </c>
      <c r="J22" s="2">
        <v>3.6339999999999999</v>
      </c>
      <c r="K22" s="2">
        <v>3.0489999999999999</v>
      </c>
      <c r="L22" s="2">
        <v>3.8940000000000001</v>
      </c>
      <c r="M22" s="2">
        <v>3.371</v>
      </c>
      <c r="N22" s="1">
        <v>3.3919999999999999</v>
      </c>
      <c r="O22" s="2">
        <v>2.968</v>
      </c>
      <c r="P22" t="str">
        <f t="shared" si="1"/>
        <v>3.38±0.51</v>
      </c>
    </row>
    <row r="23" spans="1:16" x14ac:dyDescent="0.25">
      <c r="A23" s="1" t="s">
        <v>8</v>
      </c>
      <c r="B23" s="4">
        <v>8.5739999999999998</v>
      </c>
      <c r="C23" s="4">
        <v>8.3680000000000003</v>
      </c>
      <c r="D23" s="4">
        <v>8.39</v>
      </c>
      <c r="E23" s="4">
        <v>8.0009999999999994</v>
      </c>
      <c r="F23" s="4">
        <v>8.0500000000000007</v>
      </c>
      <c r="G23" s="4">
        <v>8.1549999999999994</v>
      </c>
      <c r="H23" t="str">
        <f t="shared" si="0"/>
        <v>8.26±0.32</v>
      </c>
      <c r="I23" s="1" t="s">
        <v>8</v>
      </c>
      <c r="J23" s="4">
        <v>2.173</v>
      </c>
      <c r="K23" s="4">
        <v>2.1139999999999999</v>
      </c>
      <c r="L23" s="4">
        <v>2.137</v>
      </c>
      <c r="M23" s="4">
        <v>2.0289999999999999</v>
      </c>
      <c r="N23" s="4">
        <v>2.0339999999999998</v>
      </c>
      <c r="O23" s="4">
        <v>2.0070000000000001</v>
      </c>
      <c r="P23" t="str">
        <f t="shared" si="1"/>
        <v>2.08±0.09</v>
      </c>
    </row>
  </sheetData>
  <mergeCells count="4">
    <mergeCell ref="A1:G1"/>
    <mergeCell ref="I1:O1"/>
    <mergeCell ref="A13:G13"/>
    <mergeCell ref="I13:O13"/>
  </mergeCells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abSelected="1" zoomScale="130" zoomScaleNormal="130" workbookViewId="0">
      <selection activeCell="H26" sqref="H26"/>
    </sheetView>
  </sheetViews>
  <sheetFormatPr defaultColWidth="9" defaultRowHeight="14.4" x14ac:dyDescent="0.25"/>
  <cols>
    <col min="1" max="1" width="20.6640625" customWidth="1"/>
    <col min="8" max="8" width="15.21875" customWidth="1"/>
    <col min="9" max="9" width="18.21875" customWidth="1"/>
    <col min="16" max="16" width="13.88671875" customWidth="1"/>
  </cols>
  <sheetData>
    <row r="1" spans="1:16" x14ac:dyDescent="0.25">
      <c r="A1" s="6" t="s">
        <v>9</v>
      </c>
      <c r="B1" s="7"/>
      <c r="C1" s="7"/>
      <c r="D1" s="7"/>
      <c r="E1" s="7"/>
      <c r="F1" s="7"/>
      <c r="G1" s="7"/>
      <c r="H1" s="2"/>
      <c r="I1" s="6" t="s">
        <v>10</v>
      </c>
      <c r="J1" s="7"/>
      <c r="K1" s="7"/>
      <c r="L1" s="7"/>
      <c r="M1" s="7"/>
      <c r="N1" s="7"/>
      <c r="O1" s="7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 t="s">
        <v>0</v>
      </c>
      <c r="B3" s="2">
        <v>19.690999999999999</v>
      </c>
      <c r="C3" s="2">
        <v>19.914000000000001</v>
      </c>
      <c r="D3" s="2">
        <v>17.431000000000001</v>
      </c>
      <c r="E3" s="2">
        <v>13.592000000000001</v>
      </c>
      <c r="F3" s="1">
        <v>23.908999999999999</v>
      </c>
      <c r="G3" s="2">
        <v>17.125</v>
      </c>
      <c r="H3" t="str">
        <f>TEXT(AVERAGE(B3:G3),"0.00")&amp;"±"&amp;TEXT((MAX(B3:G3)-AVERAGE(B3:G3)),"0.00")</f>
        <v>18.61±5.30</v>
      </c>
      <c r="I3" s="1" t="s">
        <v>0</v>
      </c>
      <c r="J3" s="2">
        <v>3.492</v>
      </c>
      <c r="K3" s="2">
        <v>3.5219999999999998</v>
      </c>
      <c r="L3" s="2">
        <v>3.6659999999999999</v>
      </c>
      <c r="M3" s="2">
        <v>2.6150000000000002</v>
      </c>
      <c r="N3" s="2">
        <v>4.0599999999999996</v>
      </c>
      <c r="O3" s="2">
        <v>3.577</v>
      </c>
      <c r="P3" t="str">
        <f>TEXT(AVERAGE(J3:O3),"0.00")&amp;"±"&amp;TEXT((MAX(J3:O3)-AVERAGE(J3:O3)),"0.00")</f>
        <v>3.49±0.57</v>
      </c>
    </row>
    <row r="4" spans="1:16" x14ac:dyDescent="0.25">
      <c r="A4" s="1" t="s">
        <v>1</v>
      </c>
      <c r="B4" s="2">
        <v>10.859</v>
      </c>
      <c r="C4" s="2">
        <v>11.839</v>
      </c>
      <c r="D4" s="2">
        <v>11.8</v>
      </c>
      <c r="E4" s="2">
        <v>11.478999999999999</v>
      </c>
      <c r="F4" s="2">
        <v>11.885</v>
      </c>
      <c r="G4" s="2">
        <v>11.385999999999999</v>
      </c>
      <c r="H4" t="str">
        <f t="shared" ref="H4:H23" si="0">TEXT(AVERAGE(B4:G4),"0.00")&amp;"±"&amp;TEXT((MAX(B4:G4)-AVERAGE(B4:G4)),"0.00")</f>
        <v>11.54±0.34</v>
      </c>
      <c r="I4" s="1" t="s">
        <v>1</v>
      </c>
      <c r="J4" s="2">
        <v>2.008</v>
      </c>
      <c r="K4" s="2">
        <v>2.1890000000000001</v>
      </c>
      <c r="L4" s="2">
        <v>2.1840000000000002</v>
      </c>
      <c r="M4" s="2">
        <v>2.109</v>
      </c>
      <c r="N4" s="2">
        <v>2.2010000000000001</v>
      </c>
      <c r="O4" s="2">
        <v>2.073</v>
      </c>
      <c r="P4" t="str">
        <f t="shared" ref="P4:P23" si="1">TEXT(AVERAGE(J4:O4),"0.00")&amp;"±"&amp;TEXT((MAX(J4:O4)-AVERAGE(J4:O4)),"0.00")</f>
        <v>2.13±0.07</v>
      </c>
    </row>
    <row r="5" spans="1:16" x14ac:dyDescent="0.25">
      <c r="A5" s="1" t="s">
        <v>2</v>
      </c>
      <c r="B5" s="2">
        <v>11.263</v>
      </c>
      <c r="C5" s="2">
        <v>11.013999999999999</v>
      </c>
      <c r="D5" s="2">
        <v>13.125</v>
      </c>
      <c r="E5" s="2">
        <v>11.63</v>
      </c>
      <c r="F5" s="2">
        <v>10.941000000000001</v>
      </c>
      <c r="G5" s="2">
        <v>11.061</v>
      </c>
      <c r="H5" t="str">
        <f t="shared" si="0"/>
        <v>11.51±1.62</v>
      </c>
      <c r="I5" s="1" t="s">
        <v>2</v>
      </c>
      <c r="J5" s="2">
        <v>2.1059999999999999</v>
      </c>
      <c r="K5" s="2">
        <v>2.0409999999999999</v>
      </c>
      <c r="L5" s="2">
        <v>2.427</v>
      </c>
      <c r="M5" s="2">
        <v>2.137</v>
      </c>
      <c r="N5" s="2">
        <v>2.0089999999999999</v>
      </c>
      <c r="O5" s="2">
        <v>2.0259999999999998</v>
      </c>
      <c r="P5" t="str">
        <f t="shared" si="1"/>
        <v>2.12±0.30</v>
      </c>
    </row>
    <row r="6" spans="1:16" x14ac:dyDescent="0.25">
      <c r="A6" s="1" t="s">
        <v>3</v>
      </c>
      <c r="B6" s="3">
        <v>11.069000000000001</v>
      </c>
      <c r="C6" s="2">
        <v>11.066000000000001</v>
      </c>
      <c r="D6" s="2">
        <v>12.331</v>
      </c>
      <c r="E6" s="2">
        <v>12.553000000000001</v>
      </c>
      <c r="F6" s="2">
        <v>10.853999999999999</v>
      </c>
      <c r="G6" s="2">
        <v>12.134</v>
      </c>
      <c r="H6" t="str">
        <f t="shared" si="0"/>
        <v>11.67±0.89</v>
      </c>
      <c r="I6" s="1" t="s">
        <v>3</v>
      </c>
      <c r="J6" s="3">
        <v>2.0409999999999999</v>
      </c>
      <c r="K6" s="2">
        <v>2.0680000000000001</v>
      </c>
      <c r="L6" s="2">
        <v>2.2949999999999999</v>
      </c>
      <c r="M6" s="2">
        <v>2.3199999999999998</v>
      </c>
      <c r="N6" s="1">
        <v>1.994</v>
      </c>
      <c r="O6" s="2">
        <v>2.2290000000000001</v>
      </c>
      <c r="P6" t="str">
        <f t="shared" si="1"/>
        <v>2.16±0.16</v>
      </c>
    </row>
    <row r="7" spans="1:16" x14ac:dyDescent="0.25">
      <c r="A7" s="1" t="s">
        <v>4</v>
      </c>
      <c r="B7" s="2">
        <v>11.356999999999999</v>
      </c>
      <c r="C7" s="2">
        <v>10.659000000000001</v>
      </c>
      <c r="D7" s="2">
        <v>11.255000000000001</v>
      </c>
      <c r="E7" s="2">
        <v>11.288</v>
      </c>
      <c r="F7" s="2">
        <v>12.29</v>
      </c>
      <c r="G7" s="2">
        <v>11.557</v>
      </c>
      <c r="H7" t="str">
        <f t="shared" si="0"/>
        <v>11.40±0.89</v>
      </c>
      <c r="I7" s="1" t="s">
        <v>4</v>
      </c>
      <c r="J7" s="2">
        <v>2.0939999999999999</v>
      </c>
      <c r="K7" s="2">
        <v>1.964</v>
      </c>
      <c r="L7" s="2">
        <v>2.073</v>
      </c>
      <c r="M7" s="2">
        <v>2.085</v>
      </c>
      <c r="N7" s="1">
        <v>2.2949999999999999</v>
      </c>
      <c r="O7" s="2">
        <v>2.1480000000000001</v>
      </c>
      <c r="P7" t="str">
        <f t="shared" si="1"/>
        <v>2.11±0.19</v>
      </c>
    </row>
    <row r="8" spans="1:16" x14ac:dyDescent="0.25">
      <c r="A8" s="1" t="s">
        <v>5</v>
      </c>
      <c r="B8" s="2">
        <v>11.65</v>
      </c>
      <c r="C8" s="2">
        <v>11.481</v>
      </c>
      <c r="D8" s="2">
        <v>12.525</v>
      </c>
      <c r="E8" s="2">
        <v>11.558</v>
      </c>
      <c r="F8" s="2">
        <v>10.83</v>
      </c>
      <c r="G8" s="2">
        <v>11.318</v>
      </c>
      <c r="H8" t="str">
        <f t="shared" si="0"/>
        <v>11.56±0.96</v>
      </c>
      <c r="I8" s="1" t="s">
        <v>5</v>
      </c>
      <c r="J8" s="2">
        <v>2.129</v>
      </c>
      <c r="K8" s="2">
        <v>2.0920000000000001</v>
      </c>
      <c r="L8" s="2">
        <v>2.306</v>
      </c>
      <c r="M8" s="2">
        <v>2.137</v>
      </c>
      <c r="N8" s="1">
        <v>2.0059999999999998</v>
      </c>
      <c r="O8" s="2">
        <v>2.0710000000000002</v>
      </c>
      <c r="P8" t="str">
        <f t="shared" si="1"/>
        <v>2.12±0.18</v>
      </c>
    </row>
    <row r="9" spans="1:16" x14ac:dyDescent="0.25">
      <c r="A9" s="1" t="s">
        <v>6</v>
      </c>
      <c r="B9" s="2">
        <v>11.177</v>
      </c>
      <c r="C9" s="2">
        <v>10.265000000000001</v>
      </c>
      <c r="D9" s="2">
        <v>11.689</v>
      </c>
      <c r="E9" s="2">
        <v>10.869</v>
      </c>
      <c r="F9" s="2">
        <v>10.478</v>
      </c>
      <c r="G9" s="2">
        <v>10.282</v>
      </c>
      <c r="H9" t="str">
        <f t="shared" si="0"/>
        <v>10.79±0.90</v>
      </c>
      <c r="I9" s="1" t="s">
        <v>6</v>
      </c>
      <c r="J9" s="2">
        <v>2.028</v>
      </c>
      <c r="K9" s="2">
        <v>1.8720000000000001</v>
      </c>
      <c r="L9" s="2">
        <v>2.14</v>
      </c>
      <c r="M9" s="2">
        <v>1.986</v>
      </c>
      <c r="N9" s="1">
        <v>1.925</v>
      </c>
      <c r="O9" s="2">
        <v>1.8839999999999999</v>
      </c>
      <c r="P9" t="str">
        <f t="shared" si="1"/>
        <v>1.97±0.17</v>
      </c>
    </row>
    <row r="10" spans="1:16" x14ac:dyDescent="0.25">
      <c r="A10" s="1" t="s">
        <v>7</v>
      </c>
      <c r="B10" s="2">
        <v>11.032</v>
      </c>
      <c r="C10" s="2">
        <v>11.632</v>
      </c>
      <c r="D10" s="2">
        <v>11.292</v>
      </c>
      <c r="E10" s="2">
        <v>11.27</v>
      </c>
      <c r="F10" s="2">
        <v>10.724</v>
      </c>
      <c r="G10" s="2">
        <v>11.007999999999999</v>
      </c>
      <c r="H10" t="str">
        <f t="shared" si="0"/>
        <v>11.16±0.47</v>
      </c>
      <c r="I10" s="1" t="s">
        <v>7</v>
      </c>
      <c r="J10" s="2">
        <v>2.056</v>
      </c>
      <c r="K10" s="2">
        <v>2.1280000000000001</v>
      </c>
      <c r="L10" s="2">
        <v>2.0830000000000002</v>
      </c>
      <c r="M10" s="2">
        <v>2.073</v>
      </c>
      <c r="N10" s="1">
        <v>1.972</v>
      </c>
      <c r="O10" s="2">
        <v>2.0249999999999999</v>
      </c>
      <c r="P10" t="str">
        <f t="shared" si="1"/>
        <v>2.06±0.07</v>
      </c>
    </row>
    <row r="11" spans="1:16" x14ac:dyDescent="0.25">
      <c r="A11" s="1" t="s">
        <v>8</v>
      </c>
      <c r="B11" s="4">
        <v>10.129</v>
      </c>
      <c r="C11" s="4">
        <v>10.202999999999999</v>
      </c>
      <c r="D11" s="4">
        <v>10.032</v>
      </c>
      <c r="E11" s="4">
        <v>10.007999999999999</v>
      </c>
      <c r="F11" s="4">
        <v>10.061</v>
      </c>
      <c r="G11" s="4">
        <v>10.076000000000001</v>
      </c>
      <c r="H11" t="str">
        <f t="shared" si="0"/>
        <v>10.08±0.12</v>
      </c>
      <c r="I11" s="1" t="s">
        <v>8</v>
      </c>
      <c r="J11" s="4">
        <v>1.855</v>
      </c>
      <c r="K11" s="4">
        <v>1.871</v>
      </c>
      <c r="L11" s="4">
        <v>1.8360000000000001</v>
      </c>
      <c r="M11" s="4">
        <v>1.829</v>
      </c>
      <c r="N11" s="4">
        <v>1.837</v>
      </c>
      <c r="O11" s="4">
        <v>1.837</v>
      </c>
      <c r="P11" t="str">
        <f t="shared" si="1"/>
        <v>1.84±0.03</v>
      </c>
    </row>
    <row r="12" spans="1:16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1"/>
      <c r="O12" s="2"/>
    </row>
    <row r="13" spans="1:16" x14ac:dyDescent="0.25">
      <c r="A13" s="6" t="s">
        <v>11</v>
      </c>
      <c r="B13" s="6"/>
      <c r="C13" s="6"/>
      <c r="D13" s="6"/>
      <c r="E13" s="6"/>
      <c r="F13" s="6"/>
      <c r="G13" s="6"/>
      <c r="H13" s="5"/>
      <c r="I13" s="6" t="s">
        <v>12</v>
      </c>
      <c r="J13" s="6"/>
      <c r="K13" s="6"/>
      <c r="L13" s="6"/>
      <c r="M13" s="6"/>
      <c r="N13" s="6"/>
      <c r="O13" s="6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5"/>
      <c r="I14" s="1" t="s">
        <v>13</v>
      </c>
      <c r="J14" s="2">
        <v>30</v>
      </c>
      <c r="K14" s="2">
        <v>60</v>
      </c>
      <c r="L14" s="2">
        <v>120</v>
      </c>
      <c r="M14" s="2">
        <v>240</v>
      </c>
      <c r="N14" s="2">
        <v>360</v>
      </c>
      <c r="O14" s="2">
        <v>480</v>
      </c>
    </row>
    <row r="15" spans="1:16" x14ac:dyDescent="0.25">
      <c r="A15" s="1" t="s">
        <v>0</v>
      </c>
      <c r="B15" s="2">
        <v>14.225</v>
      </c>
      <c r="C15" s="2">
        <v>49.402999999999999</v>
      </c>
      <c r="D15" s="2">
        <v>51.033000000000001</v>
      </c>
      <c r="E15" s="2">
        <v>44.036000000000001</v>
      </c>
      <c r="F15" s="2">
        <v>29.571000000000002</v>
      </c>
      <c r="G15" s="2">
        <v>12.372999999999999</v>
      </c>
      <c r="H15" t="str">
        <f t="shared" si="0"/>
        <v>33.44±17.59</v>
      </c>
      <c r="I15" s="1" t="s">
        <v>0</v>
      </c>
      <c r="J15" s="2">
        <v>3.6150000000000002</v>
      </c>
      <c r="K15" s="2">
        <v>27.158000000000001</v>
      </c>
      <c r="L15" s="2">
        <v>27.81</v>
      </c>
      <c r="M15" s="2">
        <v>19.838000000000001</v>
      </c>
      <c r="N15" s="2">
        <v>10.093999999999999</v>
      </c>
      <c r="O15" s="2">
        <v>3.2930000000000001</v>
      </c>
      <c r="P15" t="str">
        <f t="shared" si="1"/>
        <v>15.30±12.51</v>
      </c>
    </row>
    <row r="16" spans="1:16" x14ac:dyDescent="0.25">
      <c r="A16" s="1" t="s">
        <v>1</v>
      </c>
      <c r="B16" s="2">
        <v>9.9719999999999995</v>
      </c>
      <c r="C16" s="2">
        <v>8.7919999999999998</v>
      </c>
      <c r="D16" s="2">
        <v>9.2449999999999992</v>
      </c>
      <c r="E16" s="2">
        <v>8.4700000000000006</v>
      </c>
      <c r="F16" s="2">
        <v>8.7710000000000008</v>
      </c>
      <c r="G16" s="2">
        <v>8.8650000000000002</v>
      </c>
      <c r="H16" t="str">
        <f t="shared" si="0"/>
        <v>9.02±0.95</v>
      </c>
      <c r="I16" s="1" t="s">
        <v>1</v>
      </c>
      <c r="J16" s="2">
        <v>2.4780000000000002</v>
      </c>
      <c r="K16" s="2">
        <v>2.1739999999999999</v>
      </c>
      <c r="L16" s="2">
        <v>2.34</v>
      </c>
      <c r="M16" s="2">
        <v>2.1230000000000002</v>
      </c>
      <c r="N16" s="2">
        <v>2.1789999999999998</v>
      </c>
      <c r="O16" s="2">
        <v>2.1840000000000002</v>
      </c>
      <c r="P16" t="str">
        <f t="shared" si="1"/>
        <v>2.25±0.23</v>
      </c>
    </row>
    <row r="17" spans="1:16" x14ac:dyDescent="0.25">
      <c r="A17" s="1" t="s">
        <v>2</v>
      </c>
      <c r="B17" s="2">
        <v>8.8049999999999997</v>
      </c>
      <c r="C17" s="2">
        <v>9.048</v>
      </c>
      <c r="D17" s="2">
        <v>9.7769999999999992</v>
      </c>
      <c r="E17" s="2">
        <v>8.6649999999999991</v>
      </c>
      <c r="F17" s="2">
        <v>8.9629999999999992</v>
      </c>
      <c r="G17" s="2">
        <v>9.14</v>
      </c>
      <c r="H17" t="str">
        <f t="shared" si="0"/>
        <v>9.07±0.71</v>
      </c>
      <c r="I17" s="1" t="s">
        <v>2</v>
      </c>
      <c r="J17" s="2">
        <v>2.1880000000000002</v>
      </c>
      <c r="K17" s="2">
        <v>2.2719999999999998</v>
      </c>
      <c r="L17" s="2">
        <v>2.4340000000000002</v>
      </c>
      <c r="M17" s="2">
        <v>2.1589999999999998</v>
      </c>
      <c r="N17" s="2">
        <v>2.242</v>
      </c>
      <c r="O17" s="2">
        <v>2.2330000000000001</v>
      </c>
      <c r="P17" t="str">
        <f t="shared" si="1"/>
        <v>2.25±0.18</v>
      </c>
    </row>
    <row r="18" spans="1:16" x14ac:dyDescent="0.25">
      <c r="A18" s="1" t="s">
        <v>3</v>
      </c>
      <c r="B18" s="2">
        <v>15.308</v>
      </c>
      <c r="C18" s="2">
        <v>10.156000000000001</v>
      </c>
      <c r="D18" s="2">
        <v>10.337999999999999</v>
      </c>
      <c r="E18" s="2">
        <v>8.5760000000000005</v>
      </c>
      <c r="F18" s="2">
        <v>9.1850000000000005</v>
      </c>
      <c r="G18" s="2">
        <v>8.8350000000000009</v>
      </c>
      <c r="H18" t="str">
        <f t="shared" si="0"/>
        <v>10.40±4.91</v>
      </c>
      <c r="I18" s="1" t="s">
        <v>3</v>
      </c>
      <c r="J18" s="2">
        <v>4.0490000000000004</v>
      </c>
      <c r="K18" s="2">
        <v>2.6930000000000001</v>
      </c>
      <c r="L18" s="2">
        <v>2.5590000000000002</v>
      </c>
      <c r="M18" s="2">
        <v>2.1589999999999998</v>
      </c>
      <c r="N18" s="1">
        <v>2.262</v>
      </c>
      <c r="O18" s="2">
        <v>2.1960000000000002</v>
      </c>
      <c r="P18" t="str">
        <f t="shared" si="1"/>
        <v>2.65±1.40</v>
      </c>
    </row>
    <row r="19" spans="1:16" x14ac:dyDescent="0.25">
      <c r="A19" s="1" t="s">
        <v>4</v>
      </c>
      <c r="B19" s="2">
        <v>17.652000000000001</v>
      </c>
      <c r="C19" s="2">
        <v>36.399000000000001</v>
      </c>
      <c r="D19" s="2">
        <v>14.909000000000001</v>
      </c>
      <c r="E19" s="2">
        <v>31.664000000000001</v>
      </c>
      <c r="F19" s="2">
        <v>19.384</v>
      </c>
      <c r="G19" s="2">
        <v>23.757000000000001</v>
      </c>
      <c r="H19" t="str">
        <f t="shared" si="0"/>
        <v>23.96±12.44</v>
      </c>
      <c r="I19" s="1" t="s">
        <v>4</v>
      </c>
      <c r="J19" s="2">
        <v>4.3220000000000001</v>
      </c>
      <c r="K19" s="2">
        <v>7.2210000000000001</v>
      </c>
      <c r="L19" s="2">
        <v>3.8759999999999999</v>
      </c>
      <c r="M19" s="2">
        <v>6.165</v>
      </c>
      <c r="N19" s="1">
        <v>4.6619999999999999</v>
      </c>
      <c r="O19" s="2">
        <v>5.2279999999999998</v>
      </c>
      <c r="P19" t="str">
        <f t="shared" si="1"/>
        <v>5.25±1.98</v>
      </c>
    </row>
    <row r="20" spans="1:16" x14ac:dyDescent="0.25">
      <c r="A20" s="1" t="s">
        <v>5</v>
      </c>
      <c r="B20" s="2">
        <v>17.861000000000001</v>
      </c>
      <c r="C20" s="2">
        <v>11.561999999999999</v>
      </c>
      <c r="D20" s="2">
        <v>14.75</v>
      </c>
      <c r="E20" s="2">
        <v>9.6509999999999998</v>
      </c>
      <c r="F20" s="2">
        <v>10.811</v>
      </c>
      <c r="G20" s="2">
        <v>9.4309999999999992</v>
      </c>
      <c r="H20" t="str">
        <f t="shared" si="0"/>
        <v>12.34±5.52</v>
      </c>
      <c r="I20" s="1" t="s">
        <v>5</v>
      </c>
      <c r="J20" s="2">
        <v>4.2939999999999996</v>
      </c>
      <c r="K20" s="2">
        <v>2.8610000000000002</v>
      </c>
      <c r="L20" s="2">
        <v>4.0279999999999996</v>
      </c>
      <c r="M20" s="2">
        <v>2.407</v>
      </c>
      <c r="N20" s="1">
        <v>2.66</v>
      </c>
      <c r="O20" s="2">
        <v>2.35</v>
      </c>
      <c r="P20" t="str">
        <f t="shared" si="1"/>
        <v>3.10±1.19</v>
      </c>
    </row>
    <row r="21" spans="1:16" x14ac:dyDescent="0.25">
      <c r="A21" s="1" t="s">
        <v>6</v>
      </c>
      <c r="B21" s="2">
        <v>40.07</v>
      </c>
      <c r="C21" s="2">
        <v>46.45</v>
      </c>
      <c r="D21" s="2">
        <v>36.875999999999998</v>
      </c>
      <c r="E21" s="2">
        <v>16.995999999999999</v>
      </c>
      <c r="F21" s="2">
        <v>28.864999999999998</v>
      </c>
      <c r="G21" s="2">
        <v>10.827</v>
      </c>
      <c r="H21" t="str">
        <f t="shared" si="0"/>
        <v>30.01±16.44</v>
      </c>
      <c r="I21" s="1" t="s">
        <v>6</v>
      </c>
      <c r="J21" s="2">
        <v>6.7640000000000002</v>
      </c>
      <c r="K21" s="2">
        <v>7.359</v>
      </c>
      <c r="L21" s="2">
        <v>14.379</v>
      </c>
      <c r="M21" s="2">
        <v>5.1360000000000001</v>
      </c>
      <c r="N21" s="1">
        <v>5</v>
      </c>
      <c r="O21" s="2">
        <v>2.8540000000000001</v>
      </c>
      <c r="P21" t="str">
        <f t="shared" si="1"/>
        <v>6.92±7.46</v>
      </c>
    </row>
    <row r="22" spans="1:16" x14ac:dyDescent="0.25">
      <c r="A22" s="1" t="s">
        <v>7</v>
      </c>
      <c r="B22" s="2">
        <v>11.598000000000001</v>
      </c>
      <c r="C22" s="2">
        <v>12.571</v>
      </c>
      <c r="D22" s="2">
        <v>14.317</v>
      </c>
      <c r="E22" s="2">
        <v>11.175000000000001</v>
      </c>
      <c r="F22" s="2">
        <v>10.683</v>
      </c>
      <c r="G22" s="2">
        <v>10.558999999999999</v>
      </c>
      <c r="H22" t="str">
        <f t="shared" si="0"/>
        <v>11.82±2.50</v>
      </c>
      <c r="I22" s="1" t="s">
        <v>7</v>
      </c>
      <c r="J22" s="2">
        <v>2.9089999999999998</v>
      </c>
      <c r="K22" s="2">
        <v>3.198</v>
      </c>
      <c r="L22" s="2">
        <v>3.7480000000000002</v>
      </c>
      <c r="M22" s="2">
        <v>2.895</v>
      </c>
      <c r="N22" s="1">
        <v>2.7349999999999999</v>
      </c>
      <c r="O22" s="2">
        <v>2.69</v>
      </c>
      <c r="P22" t="str">
        <f t="shared" si="1"/>
        <v>3.03±0.72</v>
      </c>
    </row>
    <row r="23" spans="1:16" x14ac:dyDescent="0.25">
      <c r="A23" s="1" t="s">
        <v>8</v>
      </c>
      <c r="B23" s="4">
        <v>8.52</v>
      </c>
      <c r="C23" s="4">
        <v>8.3810000000000002</v>
      </c>
      <c r="D23" s="4">
        <v>7.9729999999999999</v>
      </c>
      <c r="E23" s="4">
        <v>7.89</v>
      </c>
      <c r="F23" s="4">
        <v>7.9379999999999997</v>
      </c>
      <c r="G23" s="4">
        <v>8.2029999999999994</v>
      </c>
      <c r="H23" t="str">
        <f t="shared" si="0"/>
        <v>8.15±0.37</v>
      </c>
      <c r="I23" s="1" t="s">
        <v>8</v>
      </c>
      <c r="J23" s="4">
        <v>2.1549999999999998</v>
      </c>
      <c r="K23" s="4">
        <v>2.13</v>
      </c>
      <c r="L23" s="4">
        <v>2.0190000000000001</v>
      </c>
      <c r="M23" s="4">
        <v>1.998</v>
      </c>
      <c r="N23" s="4">
        <v>2.0099999999999998</v>
      </c>
      <c r="O23" s="4">
        <v>2.0990000000000002</v>
      </c>
      <c r="P23" t="str">
        <f t="shared" si="1"/>
        <v>2.07±0.09</v>
      </c>
    </row>
  </sheetData>
  <mergeCells count="4">
    <mergeCell ref="A1:G1"/>
    <mergeCell ref="I1:O1"/>
    <mergeCell ref="A13:G13"/>
    <mergeCell ref="I13:O1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base</vt:lpstr>
      <vt:lpstr>extreme5%</vt:lpstr>
      <vt:lpstr>extreme10%</vt:lpstr>
      <vt:lpstr>extreme15%</vt:lpstr>
      <vt:lpstr>missing5%</vt:lpstr>
      <vt:lpstr>missing10%</vt:lpstr>
      <vt:lpstr>missing15%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2026-05-10T08:18:24Z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